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rojects\gcb_open\ml_io\"/>
    </mc:Choice>
  </mc:AlternateContent>
  <xr:revisionPtr revIDLastSave="0" documentId="13_ncr:1_{2590E62C-5E18-43FF-BAB5-82BE1F18A5B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ate" sheetId="7" r:id="rId1"/>
    <sheet name="correction" sheetId="2" r:id="rId2"/>
  </sheets>
  <definedNames>
    <definedName name="_xlnm._FilterDatabase" localSheetId="1" hidden="1">correction!#REF!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5" i="2"/>
  <c r="O2" i="2"/>
  <c r="O3" i="2" s="1"/>
  <c r="M6" i="2" l="1"/>
  <c r="M5" i="2"/>
  <c r="M2" i="2"/>
  <c r="M3" i="2" s="1"/>
  <c r="K6" i="2"/>
  <c r="K5" i="2"/>
  <c r="K2" i="2"/>
  <c r="I6" i="2" l="1"/>
  <c r="I5" i="2"/>
  <c r="G6" i="2"/>
  <c r="G5" i="2"/>
  <c r="E6" i="2"/>
  <c r="E5" i="2"/>
  <c r="I2" i="2"/>
  <c r="G2" i="2"/>
  <c r="E2" i="2"/>
  <c r="C6" i="2"/>
  <c r="C5" i="2"/>
  <c r="C2" i="2"/>
  <c r="N56" i="7"/>
  <c r="H2" i="7" a="1"/>
  <c r="H2" i="7" s="1"/>
  <c r="G56" i="7"/>
  <c r="F56" i="7"/>
  <c r="E56" i="7"/>
  <c r="D56" i="7"/>
  <c r="C56" i="7"/>
  <c r="C4" i="7" l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3" i="7"/>
  <c r="E55" i="7" l="1"/>
  <c r="G55" i="7"/>
  <c r="F55" i="7"/>
  <c r="D55" i="7"/>
  <c r="G54" i="7" l="1"/>
  <c r="F54" i="7"/>
  <c r="E54" i="7"/>
  <c r="D54" i="7"/>
  <c r="G53" i="7"/>
  <c r="F53" i="7"/>
  <c r="E53" i="7"/>
  <c r="D53" i="7"/>
  <c r="G52" i="7"/>
  <c r="F52" i="7"/>
  <c r="E52" i="7"/>
  <c r="D52" i="7"/>
  <c r="G51" i="7"/>
  <c r="F51" i="7"/>
  <c r="E51" i="7"/>
  <c r="D51" i="7"/>
  <c r="G50" i="7"/>
  <c r="F50" i="7"/>
  <c r="E50" i="7"/>
  <c r="D50" i="7"/>
  <c r="G49" i="7"/>
  <c r="F49" i="7"/>
  <c r="E49" i="7"/>
  <c r="D49" i="7"/>
  <c r="G48" i="7"/>
  <c r="F48" i="7"/>
  <c r="E48" i="7"/>
  <c r="D48" i="7"/>
  <c r="G47" i="7"/>
  <c r="F47" i="7"/>
  <c r="E47" i="7"/>
  <c r="D47" i="7"/>
  <c r="G46" i="7"/>
  <c r="F46" i="7"/>
  <c r="E46" i="7"/>
  <c r="D46" i="7"/>
  <c r="G45" i="7"/>
  <c r="F45" i="7"/>
  <c r="E45" i="7"/>
  <c r="D45" i="7"/>
  <c r="G44" i="7"/>
  <c r="F44" i="7"/>
  <c r="E44" i="7"/>
  <c r="D44" i="7"/>
  <c r="G43" i="7"/>
  <c r="F43" i="7"/>
  <c r="E43" i="7"/>
  <c r="D43" i="7"/>
  <c r="G42" i="7"/>
  <c r="F42" i="7"/>
  <c r="E42" i="7"/>
  <c r="D42" i="7"/>
  <c r="G41" i="7"/>
  <c r="F41" i="7"/>
  <c r="E41" i="7"/>
  <c r="D41" i="7"/>
  <c r="G40" i="7"/>
  <c r="F40" i="7"/>
  <c r="E40" i="7"/>
  <c r="D40" i="7"/>
  <c r="G39" i="7"/>
  <c r="F39" i="7"/>
  <c r="E39" i="7"/>
  <c r="D39" i="7"/>
  <c r="G38" i="7"/>
  <c r="F38" i="7"/>
  <c r="E38" i="7"/>
  <c r="D38" i="7"/>
  <c r="G37" i="7"/>
  <c r="F37" i="7"/>
  <c r="E37" i="7"/>
  <c r="D37" i="7"/>
  <c r="G36" i="7"/>
  <c r="F36" i="7"/>
  <c r="E36" i="7"/>
  <c r="D36" i="7"/>
  <c r="G35" i="7"/>
  <c r="F35" i="7"/>
  <c r="E35" i="7"/>
  <c r="D35" i="7"/>
  <c r="G34" i="7"/>
  <c r="F34" i="7"/>
  <c r="E34" i="7"/>
  <c r="D34" i="7"/>
  <c r="G33" i="7"/>
  <c r="F33" i="7"/>
  <c r="E33" i="7"/>
  <c r="D33" i="7"/>
  <c r="G32" i="7"/>
  <c r="F32" i="7"/>
  <c r="E32" i="7"/>
  <c r="D32" i="7"/>
  <c r="G31" i="7"/>
  <c r="F31" i="7"/>
  <c r="E31" i="7"/>
  <c r="D31" i="7"/>
  <c r="G30" i="7"/>
  <c r="F30" i="7"/>
  <c r="E30" i="7"/>
  <c r="D30" i="7"/>
  <c r="G29" i="7"/>
  <c r="F29" i="7"/>
  <c r="E29" i="7"/>
  <c r="D29" i="7"/>
  <c r="G28" i="7"/>
  <c r="F28" i="7"/>
  <c r="E28" i="7"/>
  <c r="D28" i="7"/>
  <c r="G27" i="7"/>
  <c r="F27" i="7"/>
  <c r="E27" i="7"/>
  <c r="D27" i="7"/>
  <c r="G26" i="7"/>
  <c r="F26" i="7"/>
  <c r="E26" i="7"/>
  <c r="D26" i="7"/>
  <c r="G25" i="7"/>
  <c r="F25" i="7"/>
  <c r="E25" i="7"/>
  <c r="D25" i="7"/>
  <c r="G24" i="7"/>
  <c r="F24" i="7"/>
  <c r="E24" i="7"/>
  <c r="D24" i="7"/>
  <c r="G23" i="7"/>
  <c r="F23" i="7"/>
  <c r="E23" i="7"/>
  <c r="D23" i="7"/>
  <c r="G22" i="7"/>
  <c r="F22" i="7"/>
  <c r="E22" i="7"/>
  <c r="D22" i="7"/>
  <c r="G21" i="7"/>
  <c r="F21" i="7"/>
  <c r="E21" i="7"/>
  <c r="D21" i="7"/>
  <c r="G20" i="7"/>
  <c r="F20" i="7"/>
  <c r="E20" i="7"/>
  <c r="D20" i="7"/>
  <c r="G19" i="7"/>
  <c r="F19" i="7"/>
  <c r="E19" i="7"/>
  <c r="D19" i="7"/>
  <c r="G18" i="7"/>
  <c r="F18" i="7"/>
  <c r="E18" i="7"/>
  <c r="D18" i="7"/>
  <c r="G17" i="7"/>
  <c r="F17" i="7"/>
  <c r="E17" i="7"/>
  <c r="D17" i="7"/>
  <c r="G16" i="7"/>
  <c r="F16" i="7"/>
  <c r="E16" i="7"/>
  <c r="D16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G11" i="7"/>
  <c r="F11" i="7"/>
  <c r="E11" i="7"/>
  <c r="D11" i="7"/>
  <c r="G10" i="7"/>
  <c r="F10" i="7"/>
  <c r="E10" i="7"/>
  <c r="D10" i="7"/>
  <c r="G9" i="7"/>
  <c r="F9" i="7"/>
  <c r="E9" i="7"/>
  <c r="D9" i="7"/>
  <c r="G8" i="7"/>
  <c r="F8" i="7"/>
  <c r="E8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G3" i="7"/>
  <c r="F3" i="7"/>
  <c r="E3" i="7"/>
  <c r="D3" i="7"/>
  <c r="C2" i="7"/>
  <c r="F2" i="7" s="1"/>
  <c r="G2" i="7" l="1"/>
  <c r="D2" i="7"/>
  <c r="E2" i="7"/>
  <c r="N55" i="7" l="1"/>
  <c r="N37" i="7"/>
  <c r="N51" i="7"/>
  <c r="N46" i="7"/>
  <c r="N22" i="7"/>
  <c r="N41" i="7"/>
  <c r="N17" i="7"/>
  <c r="N36" i="7"/>
  <c r="N12" i="7"/>
  <c r="N40" i="7"/>
  <c r="N16" i="7"/>
  <c r="N11" i="7"/>
  <c r="N19" i="7"/>
  <c r="N47" i="7"/>
  <c r="N49" i="7"/>
  <c r="N7" i="7"/>
  <c r="N20" i="7"/>
  <c r="N14" i="7"/>
  <c r="N44" i="7"/>
  <c r="N9" i="7"/>
  <c r="N45" i="7"/>
  <c r="N43" i="7"/>
  <c r="N3" i="7"/>
  <c r="N18" i="7"/>
  <c r="N26" i="7"/>
  <c r="N48" i="7"/>
  <c r="N21" i="7"/>
  <c r="N4" i="7"/>
  <c r="N29" i="7"/>
  <c r="N10" i="7"/>
  <c r="N53" i="7"/>
  <c r="N33" i="7"/>
  <c r="N25" i="7"/>
  <c r="N31" i="7"/>
  <c r="N38" i="7"/>
  <c r="N50" i="7"/>
  <c r="N24" i="7"/>
  <c r="N34" i="7"/>
  <c r="N8" i="7"/>
  <c r="N27" i="7"/>
  <c r="N23" i="7"/>
  <c r="N42" i="7"/>
  <c r="N15" i="7"/>
  <c r="N5" i="7"/>
  <c r="N6" i="7"/>
  <c r="N30" i="7"/>
  <c r="N13" i="7"/>
  <c r="N32" i="7"/>
  <c r="N28" i="7"/>
  <c r="N52" i="7"/>
  <c r="N39" i="7"/>
  <c r="N35" i="7"/>
  <c r="N54" i="7"/>
  <c r="N2" i="7"/>
  <c r="C3" i="2" l="1"/>
  <c r="E3" i="2" l="1"/>
  <c r="G3" i="2" s="1"/>
  <c r="I3" i="2" l="1"/>
  <c r="K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<sst xmlns="http://schemas.openxmlformats.org/spreadsheetml/2006/main" count="16" uniqueCount="12">
  <si>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year</t>
  </si>
  <si>
    <t>year</t>
    <phoneticPr fontId="0"/>
  </si>
  <si>
    <t>Time</t>
    <phoneticPr fontId="0"/>
  </si>
  <si>
    <t>cos1</t>
    <phoneticPr fontId="0"/>
  </si>
  <si>
    <t>sin1</t>
    <phoneticPr fontId="0"/>
  </si>
  <si>
    <t>cos2</t>
    <phoneticPr fontId="0"/>
  </si>
  <si>
    <t>sin2</t>
    <phoneticPr fontId="0"/>
  </si>
  <si>
    <t>fitting</t>
  </si>
  <si>
    <t xml:space="preserve"> co2air rate</t>
  </si>
  <si>
    <t>gb</t>
  </si>
  <si>
    <t>rf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</si>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</sst>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581303380111837E-2"/>
          <c:y val="3.9729113989568049E-2"/>
          <c:w val="0.86388482927326826"/>
          <c:h val="0.80757230656087786"/>
        </c:manualLayout>
      </c:layout>
      <c:scatterChart>
        <c:scatterStyle val="lineMarker"/>
        <c:varyColors val="0"/>
        <c:ser>
          <c:idx val="0"/>
          <c:order val="0"/>
          <c:tx>
            <c:strRef>
              <c:f>rate!$B$1</c:f>
              <c:strCache>
                <c:ptCount val="1"/>
                <c:pt idx="0">
                  <c:v> co2air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xVal>
          <c:yVal>
            <c:numRef>
              <c:f>rate!$B$2:$B$56</c:f>
              <c:numCache>
                <c:formatCode>General</c:formatCode>
                <c:ptCount val="55"/>
                <c:pt idx="0">
                  <c:v>1</c:v>
                </c:pt>
                <c:pt idx="1">
                  <c:v>0.8</c:v>
                </c:pt>
                <c:pt idx="2">
                  <c:v>1.74</c:v>
                </c:pt>
                <c:pt idx="3">
                  <c:v>1.18</c:v>
                </c:pt>
                <c:pt idx="4">
                  <c:v>0.96</c:v>
                </c:pt>
                <c:pt idx="5">
                  <c:v>1.1000000000000001</c:v>
                </c:pt>
                <c:pt idx="6">
                  <c:v>0.79</c:v>
                </c:pt>
                <c:pt idx="7">
                  <c:v>2.15</c:v>
                </c:pt>
                <c:pt idx="8">
                  <c:v>1.3</c:v>
                </c:pt>
                <c:pt idx="9">
                  <c:v>1.83</c:v>
                </c:pt>
                <c:pt idx="10">
                  <c:v>1.68</c:v>
                </c:pt>
                <c:pt idx="11">
                  <c:v>1.43</c:v>
                </c:pt>
                <c:pt idx="12">
                  <c:v>0.86</c:v>
                </c:pt>
                <c:pt idx="13">
                  <c:v>2.36</c:v>
                </c:pt>
                <c:pt idx="14">
                  <c:v>1.51</c:v>
                </c:pt>
                <c:pt idx="15">
                  <c:v>1.21</c:v>
                </c:pt>
                <c:pt idx="16">
                  <c:v>1.47</c:v>
                </c:pt>
                <c:pt idx="17">
                  <c:v>2.06</c:v>
                </c:pt>
                <c:pt idx="18">
                  <c:v>2.2400000000000002</c:v>
                </c:pt>
                <c:pt idx="19">
                  <c:v>1.24</c:v>
                </c:pt>
                <c:pt idx="20">
                  <c:v>1.2</c:v>
                </c:pt>
                <c:pt idx="21">
                  <c:v>1.05</c:v>
                </c:pt>
                <c:pt idx="22">
                  <c:v>0.49</c:v>
                </c:pt>
                <c:pt idx="23">
                  <c:v>1.36</c:v>
                </c:pt>
                <c:pt idx="24">
                  <c:v>1.96</c:v>
                </c:pt>
                <c:pt idx="25">
                  <c:v>2.0099999999999998</c:v>
                </c:pt>
                <c:pt idx="26">
                  <c:v>1.24</c:v>
                </c:pt>
                <c:pt idx="27">
                  <c:v>1.91</c:v>
                </c:pt>
                <c:pt idx="28">
                  <c:v>2.97</c:v>
                </c:pt>
                <c:pt idx="29">
                  <c:v>0.92</c:v>
                </c:pt>
                <c:pt idx="30">
                  <c:v>1.62</c:v>
                </c:pt>
                <c:pt idx="31">
                  <c:v>1.62</c:v>
                </c:pt>
                <c:pt idx="32">
                  <c:v>2.5099999999999998</c:v>
                </c:pt>
                <c:pt idx="33">
                  <c:v>2.2599999999999998</c:v>
                </c:pt>
                <c:pt idx="34">
                  <c:v>1.59</c:v>
                </c:pt>
                <c:pt idx="35">
                  <c:v>2.57</c:v>
                </c:pt>
                <c:pt idx="36">
                  <c:v>1.69</c:v>
                </c:pt>
                <c:pt idx="37">
                  <c:v>2.31</c:v>
                </c:pt>
                <c:pt idx="38">
                  <c:v>1.54</c:v>
                </c:pt>
                <c:pt idx="39">
                  <c:v>2</c:v>
                </c:pt>
                <c:pt idx="40">
                  <c:v>2.2999999999999998</c:v>
                </c:pt>
                <c:pt idx="41">
                  <c:v>1.92</c:v>
                </c:pt>
                <c:pt idx="42">
                  <c:v>2.65</c:v>
                </c:pt>
                <c:pt idx="43">
                  <c:v>1.99</c:v>
                </c:pt>
                <c:pt idx="44">
                  <c:v>2.17</c:v>
                </c:pt>
                <c:pt idx="45">
                  <c:v>2.95</c:v>
                </c:pt>
                <c:pt idx="46">
                  <c:v>3.03</c:v>
                </c:pt>
                <c:pt idx="47">
                  <c:v>1.9</c:v>
                </c:pt>
                <c:pt idx="48">
                  <c:v>2.85</c:v>
                </c:pt>
                <c:pt idx="49">
                  <c:v>2.4900000000000002</c:v>
                </c:pt>
                <c:pt idx="50">
                  <c:v>2.2999999999999998</c:v>
                </c:pt>
                <c:pt idx="51">
                  <c:v>2.34</c:v>
                </c:pt>
                <c:pt idx="52">
                  <c:v>1.83</c:v>
                </c:pt>
                <c:pt idx="53">
                  <c:v>3.36</c:v>
                </c:pt>
                <c:pt idx="54">
                  <c:v>3.33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D-4AD0-99B4-C248A32BB712}"/>
            </c:ext>
          </c:extLst>
        </c:ser>
        <c:ser>
          <c:idx val="1"/>
          <c:order val="1"/>
          <c:tx>
            <c:strRef>
              <c:f>rate!$N$1</c:f>
              <c:strCache>
                <c:ptCount val="1"/>
                <c:pt idx="0">
                  <c:v>fitting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rate!$A$2:$A$56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xVal>
          <c:yVal>
            <c:numRef>
              <c:f>rate!$N$2:$N$56</c:f>
              <c:numCache>
                <c:formatCode>General</c:formatCode>
                <c:ptCount val="55"/>
                <c:pt idx="0">
                  <c:v>1.0234426853751033</c:v>
                </c:pt>
                <c:pt idx="1">
                  <c:v>1.0554379652864783</c:v>
                </c:pt>
                <c:pt idx="2">
                  <c:v>1.0975410670860408</c:v>
                </c:pt>
                <c:pt idx="3">
                  <c:v>1.1494252067096606</c:v>
                </c:pt>
                <c:pt idx="4">
                  <c:v>1.2096242799567161</c:v>
                </c:pt>
                <c:pt idx="5">
                  <c:v>1.2756536280626458</c:v>
                </c:pt>
                <c:pt idx="6">
                  <c:v>1.344235545181464</c:v>
                </c:pt>
                <c:pt idx="7">
                  <c:v>1.4116078895700217</c:v>
                </c:pt>
                <c:pt idx="8">
                  <c:v>1.473885890690473</c:v>
                </c:pt>
                <c:pt idx="9">
                  <c:v>1.5274418950370545</c:v>
                </c:pt>
                <c:pt idx="10">
                  <c:v>1.5692658913874717</c:v>
                </c:pt>
                <c:pt idx="11">
                  <c:v>1.5972713911676748</c:v>
                </c:pt>
                <c:pt idx="12">
                  <c:v>1.6105164454750729</c:v>
                </c:pt>
                <c:pt idx="13">
                  <c:v>1.6093177509690104</c:v>
                </c:pt>
                <c:pt idx="14">
                  <c:v>1.5952461358645327</c:v>
                </c:pt>
                <c:pt idx="15">
                  <c:v>1.5710032157070399</c:v>
                </c:pt>
                <c:pt idx="16">
                  <c:v>1.5401905436937908</c:v>
                </c:pt>
                <c:pt idx="17">
                  <c:v>1.5069930252930623</c:v>
                </c:pt>
                <c:pt idx="18">
                  <c:v>1.4758067012957021</c:v>
                </c:pt>
                <c:pt idx="19">
                  <c:v>1.4508464128179082</c:v>
                </c:pt>
                <c:pt idx="20">
                  <c:v>1.4357708175421118</c:v>
                </c:pt>
                <c:pt idx="21">
                  <c:v>1.433360537523618</c:v>
                </c:pt>
                <c:pt idx="22">
                  <c:v>1.4452800502973868</c:v>
                </c:pt>
                <c:pt idx="23">
                  <c:v>1.4719457919346906</c:v>
                </c:pt>
                <c:pt idx="24">
                  <c:v>1.5125126188883962</c:v>
                </c:pt>
                <c:pt idx="25">
                  <c:v>1.5649792834533738</c:v>
                </c:pt>
                <c:pt idx="26">
                  <c:v>1.6264020380643815</c:v>
                </c:pt>
                <c:pt idx="27">
                  <c:v>1.6931950233191122</c:v>
                </c:pt>
                <c:pt idx="28">
                  <c:v>1.7614877344243765</c:v>
                </c:pt>
                <c:pt idx="29">
                  <c:v>1.827504415752907</c:v>
                </c:pt>
                <c:pt idx="30">
                  <c:v>1.8879282328604983</c:v>
                </c:pt>
                <c:pt idx="31">
                  <c:v>1.940214707856792</c:v>
                </c:pt>
                <c:pt idx="32">
                  <c:v>1.9828240136454405</c:v>
                </c:pt>
                <c:pt idx="33">
                  <c:v>2.0153498015599576</c:v>
                </c:pt>
                <c:pt idx="34">
                  <c:v>2.0385324911330525</c:v>
                </c:pt>
                <c:pt idx="35">
                  <c:v>2.0541563732890147</c:v>
                </c:pt>
                <c:pt idx="36">
                  <c:v>2.0648413482418162</c:v>
                </c:pt>
                <c:pt idx="37">
                  <c:v>2.0737505116686346</c:v>
                </c:pt>
                <c:pt idx="38">
                  <c:v>2.084243098109658</c:v>
                </c:pt>
                <c:pt idx="39">
                  <c:v>2.0995076755817172</c:v>
                </c:pt>
                <c:pt idx="40">
                  <c:v>2.1222124320688835</c:v>
                </c:pt>
                <c:pt idx="41">
                  <c:v>2.1542077119802578</c:v>
                </c:pt>
                <c:pt idx="42">
                  <c:v>2.1963108137798208</c:v>
                </c:pt>
                <c:pt idx="43">
                  <c:v>2.2481949534034404</c:v>
                </c:pt>
                <c:pt idx="44">
                  <c:v>2.3083940266504963</c:v>
                </c:pt>
                <c:pt idx="45">
                  <c:v>2.3744233747564265</c:v>
                </c:pt>
                <c:pt idx="46">
                  <c:v>2.4430052918752443</c:v>
                </c:pt>
                <c:pt idx="47">
                  <c:v>2.5103776362638022</c:v>
                </c:pt>
                <c:pt idx="48">
                  <c:v>2.5726556373842526</c:v>
                </c:pt>
                <c:pt idx="49">
                  <c:v>2.6262116417308343</c:v>
                </c:pt>
                <c:pt idx="50">
                  <c:v>2.668035638081252</c:v>
                </c:pt>
                <c:pt idx="51">
                  <c:v>2.6960411378614553</c:v>
                </c:pt>
                <c:pt idx="52">
                  <c:v>2.7092861921688529</c:v>
                </c:pt>
                <c:pt idx="53">
                  <c:v>2.7080874976627909</c:v>
                </c:pt>
                <c:pt idx="54">
                  <c:v>2.6940158825583125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D-4AD0-99B4-C248A32BB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423535"/>
        <c:axId val="1637419215"/>
      </c:scatterChart>
      <c:valAx>
        <c:axId val="1637423535"/>
        <c:scaling>
          <c:orientation val="minMax"/>
          <c:max val="2023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19215"/>
        <c:crosses val="autoZero"/>
        <c:crossBetween val="midCat"/>
      </c:valAx>
      <c:valAx>
        <c:axId val="163741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Increase Rate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2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458787</xdr:colOff>
      <xdr:row>4</xdr:row>
      <xdr:rowOff>7937</xdr:rowOff>
    </xdr:from>
    <xdr:to>
      <xdr:col>24</xdr:col>
      <xdr:colOff>285750</xdr:colOff>
      <xdr:row>23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FC4485-1E7C-DD85-B1B5-DD1C260E2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141B-E992-4E3E-BB53-36CAD4579CD6}">
  <dimension ref="A1:O56"/>
  <sheetViews>
    <sheetView workbookViewId="0">
      <selection activeCell="N2" sqref="N2"/>
    </sheetView>
  </sheetViews>
  <sheetFormatPr defaultRowHeight="14.25"/>
  <cols>
    <col min="1" max="8" width="8.73046875" style="1"/>
    <col min="14" max="14" width="8.73046875" style="1"/>
  </cols>
  <sheetData>
    <row r="1" spans="1:15">
      <c r="A1" s="1" t="s">
        <v>1</v>
      </c>
      <c r="B1" s="1" t="s">
        <v>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N1" s="1" t="s">
        <v>7</v>
      </c>
      <c r="O1" s="1"/>
    </row>
    <row r="2" spans="1:15">
      <c r="A2">
        <v>1970</v>
      </c>
      <c r="B2">
        <v>1</v>
      </c>
      <c r="C2" s="1">
        <f>0</f>
        <v>0</v>
      </c>
      <c r="D2" s="1">
        <f>COS(C2*2*PI()/20)</f>
        <v>1</v>
      </c>
      <c r="E2" s="1">
        <f>SIN(C2*2*PI()/20)</f>
        <v>0</v>
      </c>
      <c r="F2" s="1">
        <f>COS(C2*2*PI()/40)</f>
        <v>1</v>
      </c>
      <c r="G2" s="1">
        <f>SIN(C2*2*PI()/40)</f>
        <v>0</v>
      </c>
      <c r="H2" s="1" cm="1">
        <f t="array" ref="H2:M2">LINEST(B2:B56,C2:G56)</f>
        <v>0.11536126593693193</v>
      </c>
      <c r="I2">
        <v>6.852837058994081E-2</v>
      </c>
      <c r="J2">
        <v>-5.8785451033286348E-2</v>
      </c>
      <c r="K2">
        <v>-0.11214893699596615</v>
      </c>
      <c r="L2">
        <v>2.7469243667344503E-2</v>
      </c>
      <c r="M2">
        <v>1.0670632517811287</v>
      </c>
      <c r="N2" s="1">
        <f t="shared" ref="N2:N33" si="0">M$2+L$2*C2+K$2*D2+J$2*E2+I$2*F2+H$2*G2</f>
        <v>1.0234426853751033</v>
      </c>
    </row>
    <row r="3" spans="1:15">
      <c r="A3">
        <v>1971</v>
      </c>
      <c r="B3">
        <v>0.8</v>
      </c>
      <c r="C3" s="1">
        <f>C2+1</f>
        <v>1</v>
      </c>
      <c r="D3" s="1">
        <f t="shared" ref="D3:D54" si="1">COS(C3*2*PI()/20)</f>
        <v>0.95105651629515353</v>
      </c>
      <c r="E3" s="1">
        <f t="shared" ref="E3:E54" si="2">SIN(C3*2*PI()/20)</f>
        <v>0.3090169943749474</v>
      </c>
      <c r="F3" s="1">
        <f t="shared" ref="F3:F54" si="3">COS(C3*2*PI()/40)</f>
        <v>0.98768834059513777</v>
      </c>
      <c r="G3" s="1">
        <f t="shared" ref="G3:G54" si="4">SIN(C3*2*PI()/40)</f>
        <v>0.15643446504023087</v>
      </c>
      <c r="N3" s="1">
        <f t="shared" si="0"/>
        <v>1.0554379652864783</v>
      </c>
    </row>
    <row r="4" spans="1:15">
      <c r="A4">
        <v>1972</v>
      </c>
      <c r="B4">
        <v>1.74</v>
      </c>
      <c r="C4" s="1">
        <f t="shared" ref="C4:C56" si="5">C3+1</f>
        <v>2</v>
      </c>
      <c r="D4" s="1">
        <f t="shared" si="1"/>
        <v>0.80901699437494745</v>
      </c>
      <c r="E4" s="1">
        <f t="shared" si="2"/>
        <v>0.58778525229247314</v>
      </c>
      <c r="F4" s="1">
        <f t="shared" si="3"/>
        <v>0.95105651629515353</v>
      </c>
      <c r="G4" s="1">
        <f t="shared" si="4"/>
        <v>0.3090169943749474</v>
      </c>
      <c r="N4" s="1">
        <f t="shared" si="0"/>
        <v>1.0975410670860408</v>
      </c>
    </row>
    <row r="5" spans="1:15">
      <c r="A5">
        <v>1973</v>
      </c>
      <c r="B5">
        <v>1.18</v>
      </c>
      <c r="C5" s="1">
        <f t="shared" si="5"/>
        <v>3</v>
      </c>
      <c r="D5" s="1">
        <f t="shared" si="1"/>
        <v>0.58778525229247314</v>
      </c>
      <c r="E5" s="1">
        <f t="shared" si="2"/>
        <v>0.80901699437494745</v>
      </c>
      <c r="F5" s="1">
        <f t="shared" si="3"/>
        <v>0.8910065241883679</v>
      </c>
      <c r="G5" s="1">
        <f t="shared" si="4"/>
        <v>0.45399049973954675</v>
      </c>
      <c r="N5" s="1">
        <f t="shared" si="0"/>
        <v>1.1494252067096606</v>
      </c>
    </row>
    <row r="6" spans="1:15">
      <c r="A6">
        <v>1974</v>
      </c>
      <c r="B6">
        <v>0.96</v>
      </c>
      <c r="C6" s="1">
        <f t="shared" si="5"/>
        <v>4</v>
      </c>
      <c r="D6" s="1">
        <f t="shared" si="1"/>
        <v>0.30901699437494745</v>
      </c>
      <c r="E6" s="1">
        <f t="shared" si="2"/>
        <v>0.95105651629515353</v>
      </c>
      <c r="F6" s="1">
        <f t="shared" si="3"/>
        <v>0.80901699437494745</v>
      </c>
      <c r="G6" s="1">
        <f t="shared" si="4"/>
        <v>0.58778525229247314</v>
      </c>
      <c r="N6" s="1">
        <f t="shared" si="0"/>
        <v>1.2096242799567161</v>
      </c>
    </row>
    <row r="7" spans="1:15">
      <c r="A7">
        <v>1975</v>
      </c>
      <c r="B7">
        <v>1.1000000000000001</v>
      </c>
      <c r="C7" s="1">
        <f t="shared" si="5"/>
        <v>5</v>
      </c>
      <c r="D7" s="1">
        <f t="shared" si="1"/>
        <v>6.1257422745431001E-17</v>
      </c>
      <c r="E7" s="1">
        <f t="shared" si="2"/>
        <v>1</v>
      </c>
      <c r="F7" s="1">
        <f t="shared" si="3"/>
        <v>0.70710678118654757</v>
      </c>
      <c r="G7" s="1">
        <f t="shared" si="4"/>
        <v>0.70710678118654746</v>
      </c>
      <c r="N7" s="1">
        <f t="shared" si="0"/>
        <v>1.2756536280626458</v>
      </c>
    </row>
    <row r="8" spans="1:15">
      <c r="A8">
        <v>1976</v>
      </c>
      <c r="B8">
        <v>0.79</v>
      </c>
      <c r="C8" s="1">
        <f t="shared" si="5"/>
        <v>6</v>
      </c>
      <c r="D8" s="1">
        <f t="shared" si="1"/>
        <v>-0.30901699437494734</v>
      </c>
      <c r="E8" s="1">
        <f t="shared" si="2"/>
        <v>0.95105651629515364</v>
      </c>
      <c r="F8" s="1">
        <f t="shared" si="3"/>
        <v>0.58778525229247314</v>
      </c>
      <c r="G8" s="1">
        <f t="shared" si="4"/>
        <v>0.80901699437494745</v>
      </c>
      <c r="N8" s="1">
        <f t="shared" si="0"/>
        <v>1.344235545181464</v>
      </c>
    </row>
    <row r="9" spans="1:15">
      <c r="A9">
        <v>1977</v>
      </c>
      <c r="B9">
        <v>2.15</v>
      </c>
      <c r="C9" s="1">
        <f t="shared" si="5"/>
        <v>7</v>
      </c>
      <c r="D9" s="1">
        <f t="shared" si="1"/>
        <v>-0.58778525229247303</v>
      </c>
      <c r="E9" s="1">
        <f t="shared" si="2"/>
        <v>0.80901699437494745</v>
      </c>
      <c r="F9" s="1">
        <f t="shared" si="3"/>
        <v>0.4539904997395468</v>
      </c>
      <c r="G9" s="1">
        <f t="shared" si="4"/>
        <v>0.89100652418836779</v>
      </c>
      <c r="N9" s="1">
        <f t="shared" si="0"/>
        <v>1.4116078895700217</v>
      </c>
    </row>
    <row r="10" spans="1:15">
      <c r="A10">
        <v>1978</v>
      </c>
      <c r="B10">
        <v>1.3</v>
      </c>
      <c r="C10" s="1">
        <f t="shared" si="5"/>
        <v>8</v>
      </c>
      <c r="D10" s="1">
        <f t="shared" si="1"/>
        <v>-0.80901699437494734</v>
      </c>
      <c r="E10" s="1">
        <f t="shared" si="2"/>
        <v>0.58778525229247325</v>
      </c>
      <c r="F10" s="1">
        <f t="shared" si="3"/>
        <v>0.30901699437494745</v>
      </c>
      <c r="G10" s="1">
        <f t="shared" si="4"/>
        <v>0.95105651629515353</v>
      </c>
      <c r="N10" s="1">
        <f t="shared" si="0"/>
        <v>1.473885890690473</v>
      </c>
    </row>
    <row r="11" spans="1:15">
      <c r="A11">
        <v>1979</v>
      </c>
      <c r="B11">
        <v>1.83</v>
      </c>
      <c r="C11" s="1">
        <f t="shared" si="5"/>
        <v>9</v>
      </c>
      <c r="D11" s="1">
        <f t="shared" si="1"/>
        <v>-0.95105651629515353</v>
      </c>
      <c r="E11" s="1">
        <f t="shared" si="2"/>
        <v>0.30901699437494751</v>
      </c>
      <c r="F11" s="1">
        <f t="shared" si="3"/>
        <v>0.15643446504023092</v>
      </c>
      <c r="G11" s="1">
        <f t="shared" si="4"/>
        <v>0.98768834059513777</v>
      </c>
      <c r="N11" s="1">
        <f t="shared" si="0"/>
        <v>1.5274418950370545</v>
      </c>
    </row>
    <row r="12" spans="1:15">
      <c r="A12">
        <v>1980</v>
      </c>
      <c r="B12">
        <v>1.68</v>
      </c>
      <c r="C12" s="1">
        <f t="shared" si="5"/>
        <v>10</v>
      </c>
      <c r="D12" s="1">
        <f t="shared" si="1"/>
        <v>-1</v>
      </c>
      <c r="E12" s="1">
        <f t="shared" si="2"/>
        <v>1.22514845490862E-16</v>
      </c>
      <c r="F12" s="1">
        <f t="shared" si="3"/>
        <v>6.1257422745431001E-17</v>
      </c>
      <c r="G12" s="1">
        <f t="shared" si="4"/>
        <v>1</v>
      </c>
      <c r="N12" s="1">
        <f t="shared" si="0"/>
        <v>1.5692658913874717</v>
      </c>
    </row>
    <row r="13" spans="1:15">
      <c r="A13">
        <v>1981</v>
      </c>
      <c r="B13">
        <v>1.43</v>
      </c>
      <c r="C13" s="1">
        <f t="shared" si="5"/>
        <v>11</v>
      </c>
      <c r="D13" s="1">
        <f t="shared" si="1"/>
        <v>-0.95105651629515375</v>
      </c>
      <c r="E13" s="1">
        <f t="shared" si="2"/>
        <v>-0.3090169943749469</v>
      </c>
      <c r="F13" s="1">
        <f t="shared" si="3"/>
        <v>-0.15643446504023059</v>
      </c>
      <c r="G13" s="1">
        <f t="shared" si="4"/>
        <v>0.98768834059513777</v>
      </c>
      <c r="N13" s="1">
        <f t="shared" si="0"/>
        <v>1.5972713911676748</v>
      </c>
    </row>
    <row r="14" spans="1:15">
      <c r="A14">
        <v>1982</v>
      </c>
      <c r="B14">
        <v>0.86</v>
      </c>
      <c r="C14" s="1">
        <f t="shared" si="5"/>
        <v>12</v>
      </c>
      <c r="D14" s="1">
        <f t="shared" si="1"/>
        <v>-0.80901699437494756</v>
      </c>
      <c r="E14" s="1">
        <f t="shared" si="2"/>
        <v>-0.58778525229247303</v>
      </c>
      <c r="F14" s="1">
        <f t="shared" si="3"/>
        <v>-0.30901699437494734</v>
      </c>
      <c r="G14" s="1">
        <f t="shared" si="4"/>
        <v>0.95105651629515364</v>
      </c>
      <c r="N14" s="1">
        <f t="shared" si="0"/>
        <v>1.6105164454750729</v>
      </c>
    </row>
    <row r="15" spans="1:15">
      <c r="A15">
        <v>1983</v>
      </c>
      <c r="B15">
        <v>2.36</v>
      </c>
      <c r="C15" s="1">
        <f t="shared" si="5"/>
        <v>13</v>
      </c>
      <c r="D15" s="1">
        <f t="shared" si="1"/>
        <v>-0.58778525229247325</v>
      </c>
      <c r="E15" s="1">
        <f t="shared" si="2"/>
        <v>-0.80901699437494734</v>
      </c>
      <c r="F15" s="1">
        <f t="shared" si="3"/>
        <v>-0.45399049973954669</v>
      </c>
      <c r="G15" s="1">
        <f t="shared" si="4"/>
        <v>0.8910065241883679</v>
      </c>
      <c r="N15" s="1">
        <f t="shared" si="0"/>
        <v>1.6093177509690104</v>
      </c>
    </row>
    <row r="16" spans="1:15">
      <c r="A16">
        <v>1984</v>
      </c>
      <c r="B16">
        <v>1.51</v>
      </c>
      <c r="C16" s="1">
        <f t="shared" si="5"/>
        <v>14</v>
      </c>
      <c r="D16" s="1">
        <f t="shared" si="1"/>
        <v>-0.30901699437494756</v>
      </c>
      <c r="E16" s="1">
        <f t="shared" si="2"/>
        <v>-0.95105651629515353</v>
      </c>
      <c r="F16" s="1">
        <f t="shared" si="3"/>
        <v>-0.58778525229247303</v>
      </c>
      <c r="G16" s="1">
        <f t="shared" si="4"/>
        <v>0.80901699437494745</v>
      </c>
      <c r="N16" s="1">
        <f t="shared" si="0"/>
        <v>1.5952461358645327</v>
      </c>
    </row>
    <row r="17" spans="1:14">
      <c r="A17">
        <v>1985</v>
      </c>
      <c r="B17">
        <v>1.21</v>
      </c>
      <c r="C17" s="1">
        <f t="shared" si="5"/>
        <v>15</v>
      </c>
      <c r="D17" s="1">
        <f t="shared" si="1"/>
        <v>-1.83772268236293E-16</v>
      </c>
      <c r="E17" s="1">
        <f t="shared" si="2"/>
        <v>-1</v>
      </c>
      <c r="F17" s="1">
        <f t="shared" si="3"/>
        <v>-0.70710678118654746</v>
      </c>
      <c r="G17" s="1">
        <f t="shared" si="4"/>
        <v>0.70710678118654757</v>
      </c>
      <c r="N17" s="1">
        <f t="shared" si="0"/>
        <v>1.5710032157070399</v>
      </c>
    </row>
    <row r="18" spans="1:14">
      <c r="A18">
        <v>1986</v>
      </c>
      <c r="B18">
        <v>1.47</v>
      </c>
      <c r="C18" s="1">
        <f t="shared" si="5"/>
        <v>16</v>
      </c>
      <c r="D18" s="1">
        <f t="shared" si="1"/>
        <v>0.30901699437494723</v>
      </c>
      <c r="E18" s="1">
        <f t="shared" si="2"/>
        <v>-0.95105651629515364</v>
      </c>
      <c r="F18" s="1">
        <f t="shared" si="3"/>
        <v>-0.80901699437494734</v>
      </c>
      <c r="G18" s="1">
        <f t="shared" si="4"/>
        <v>0.58778525229247325</v>
      </c>
      <c r="N18" s="1">
        <f t="shared" si="0"/>
        <v>1.5401905436937908</v>
      </c>
    </row>
    <row r="19" spans="1:14">
      <c r="A19">
        <v>1987</v>
      </c>
      <c r="B19">
        <v>2.06</v>
      </c>
      <c r="C19" s="1">
        <f t="shared" si="5"/>
        <v>17</v>
      </c>
      <c r="D19" s="1">
        <f t="shared" si="1"/>
        <v>0.58778525229247292</v>
      </c>
      <c r="E19" s="1">
        <f t="shared" si="2"/>
        <v>-0.80901699437494756</v>
      </c>
      <c r="F19" s="1">
        <f t="shared" si="3"/>
        <v>-0.89100652418836779</v>
      </c>
      <c r="G19" s="1">
        <f t="shared" si="4"/>
        <v>0.45399049973954686</v>
      </c>
      <c r="N19" s="1">
        <f t="shared" si="0"/>
        <v>1.5069930252930623</v>
      </c>
    </row>
    <row r="20" spans="1:14">
      <c r="A20">
        <v>1988</v>
      </c>
      <c r="B20">
        <v>2.2400000000000002</v>
      </c>
      <c r="C20" s="1">
        <f t="shared" si="5"/>
        <v>18</v>
      </c>
      <c r="D20" s="1">
        <f t="shared" si="1"/>
        <v>0.80901699437494734</v>
      </c>
      <c r="E20" s="1">
        <f t="shared" si="2"/>
        <v>-0.58778525229247336</v>
      </c>
      <c r="F20" s="1">
        <f t="shared" si="3"/>
        <v>-0.95105651629515353</v>
      </c>
      <c r="G20" s="1">
        <f t="shared" si="4"/>
        <v>0.30901699437494751</v>
      </c>
      <c r="N20" s="1">
        <f t="shared" si="0"/>
        <v>1.4758067012957021</v>
      </c>
    </row>
    <row r="21" spans="1:14">
      <c r="A21">
        <v>1989</v>
      </c>
      <c r="B21">
        <v>1.24</v>
      </c>
      <c r="C21" s="1">
        <f t="shared" si="5"/>
        <v>19</v>
      </c>
      <c r="D21" s="1">
        <f t="shared" si="1"/>
        <v>0.95105651629515353</v>
      </c>
      <c r="E21" s="1">
        <f t="shared" si="2"/>
        <v>-0.30901699437494762</v>
      </c>
      <c r="F21" s="1">
        <f t="shared" si="3"/>
        <v>-0.98768834059513766</v>
      </c>
      <c r="G21" s="1">
        <f t="shared" si="4"/>
        <v>0.15643446504023098</v>
      </c>
      <c r="N21" s="1">
        <f t="shared" si="0"/>
        <v>1.4508464128179082</v>
      </c>
    </row>
    <row r="22" spans="1:14">
      <c r="A22">
        <v>1990</v>
      </c>
      <c r="B22">
        <v>1.2</v>
      </c>
      <c r="C22" s="1">
        <f t="shared" si="5"/>
        <v>20</v>
      </c>
      <c r="D22" s="1">
        <f t="shared" si="1"/>
        <v>1</v>
      </c>
      <c r="E22" s="1">
        <f t="shared" si="2"/>
        <v>-2.45029690981724E-16</v>
      </c>
      <c r="F22" s="1">
        <f t="shared" si="3"/>
        <v>-1</v>
      </c>
      <c r="G22" s="1">
        <f t="shared" si="4"/>
        <v>1.22514845490862E-16</v>
      </c>
      <c r="N22" s="1">
        <f t="shared" si="0"/>
        <v>1.4357708175421118</v>
      </c>
    </row>
    <row r="23" spans="1:14">
      <c r="A23">
        <v>1991</v>
      </c>
      <c r="B23">
        <v>1.05</v>
      </c>
      <c r="C23" s="1">
        <f t="shared" si="5"/>
        <v>21</v>
      </c>
      <c r="D23" s="1">
        <f t="shared" si="1"/>
        <v>0.95105651629515364</v>
      </c>
      <c r="E23" s="1">
        <f t="shared" si="2"/>
        <v>0.30901699437494717</v>
      </c>
      <c r="F23" s="1">
        <f t="shared" si="3"/>
        <v>-0.98768834059513777</v>
      </c>
      <c r="G23" s="1">
        <f t="shared" si="4"/>
        <v>-0.15643446504023073</v>
      </c>
      <c r="N23" s="1">
        <f t="shared" si="0"/>
        <v>1.433360537523618</v>
      </c>
    </row>
    <row r="24" spans="1:14">
      <c r="A24">
        <v>1992</v>
      </c>
      <c r="B24">
        <v>0.49</v>
      </c>
      <c r="C24" s="1">
        <f t="shared" si="5"/>
        <v>22</v>
      </c>
      <c r="D24" s="1">
        <f t="shared" si="1"/>
        <v>0.80901699437494812</v>
      </c>
      <c r="E24" s="1">
        <f t="shared" si="2"/>
        <v>0.58778525229247214</v>
      </c>
      <c r="F24" s="1">
        <f t="shared" si="3"/>
        <v>-0.95105651629515375</v>
      </c>
      <c r="G24" s="1">
        <f t="shared" si="4"/>
        <v>-0.3090169943749469</v>
      </c>
      <c r="N24" s="1">
        <f t="shared" si="0"/>
        <v>1.4452800502973868</v>
      </c>
    </row>
    <row r="25" spans="1:14">
      <c r="A25">
        <v>1993</v>
      </c>
      <c r="B25">
        <v>1.36</v>
      </c>
      <c r="C25" s="1">
        <f t="shared" si="5"/>
        <v>23</v>
      </c>
      <c r="D25" s="1">
        <f t="shared" si="1"/>
        <v>0.58778525229247336</v>
      </c>
      <c r="E25" s="1">
        <f t="shared" si="2"/>
        <v>0.80901699437494723</v>
      </c>
      <c r="F25" s="1">
        <f t="shared" si="3"/>
        <v>-0.8910065241883679</v>
      </c>
      <c r="G25" s="1">
        <f t="shared" si="4"/>
        <v>-0.45399049973954669</v>
      </c>
      <c r="N25" s="1">
        <f t="shared" si="0"/>
        <v>1.4719457919346906</v>
      </c>
    </row>
    <row r="26" spans="1:14">
      <c r="A26">
        <v>1994</v>
      </c>
      <c r="B26">
        <v>1.96</v>
      </c>
      <c r="C26" s="1">
        <f t="shared" si="5"/>
        <v>24</v>
      </c>
      <c r="D26" s="1">
        <f t="shared" si="1"/>
        <v>0.30901699437494773</v>
      </c>
      <c r="E26" s="1">
        <f t="shared" si="2"/>
        <v>0.95105651629515353</v>
      </c>
      <c r="F26" s="1">
        <f t="shared" si="3"/>
        <v>-0.80901699437494756</v>
      </c>
      <c r="G26" s="1">
        <f t="shared" si="4"/>
        <v>-0.58778525229247303</v>
      </c>
      <c r="N26" s="1">
        <f t="shared" si="0"/>
        <v>1.5125126188883962</v>
      </c>
    </row>
    <row r="27" spans="1:14">
      <c r="A27">
        <v>1995</v>
      </c>
      <c r="B27">
        <v>2.0099999999999998</v>
      </c>
      <c r="C27" s="1">
        <f t="shared" si="5"/>
        <v>25</v>
      </c>
      <c r="D27" s="1">
        <f t="shared" si="1"/>
        <v>3.06287113727155E-16</v>
      </c>
      <c r="E27" s="1">
        <f t="shared" si="2"/>
        <v>1</v>
      </c>
      <c r="F27" s="1">
        <f t="shared" si="3"/>
        <v>-0.70710678118654768</v>
      </c>
      <c r="G27" s="1">
        <f t="shared" si="4"/>
        <v>-0.70710678118654746</v>
      </c>
      <c r="N27" s="1">
        <f t="shared" si="0"/>
        <v>1.5649792834533738</v>
      </c>
    </row>
    <row r="28" spans="1:14">
      <c r="A28">
        <v>1996</v>
      </c>
      <c r="B28">
        <v>1.24</v>
      </c>
      <c r="C28" s="1">
        <f t="shared" si="5"/>
        <v>26</v>
      </c>
      <c r="D28" s="1">
        <f t="shared" si="1"/>
        <v>-0.30901699437494712</v>
      </c>
      <c r="E28" s="1">
        <f t="shared" si="2"/>
        <v>0.95105651629515364</v>
      </c>
      <c r="F28" s="1">
        <f t="shared" si="3"/>
        <v>-0.58778525229247325</v>
      </c>
      <c r="G28" s="1">
        <f t="shared" si="4"/>
        <v>-0.80901699437494734</v>
      </c>
      <c r="N28" s="1">
        <f t="shared" si="0"/>
        <v>1.6264020380643815</v>
      </c>
    </row>
    <row r="29" spans="1:14">
      <c r="A29">
        <v>1997</v>
      </c>
      <c r="B29">
        <v>1.91</v>
      </c>
      <c r="C29" s="1">
        <f t="shared" si="5"/>
        <v>27</v>
      </c>
      <c r="D29" s="1">
        <f t="shared" si="1"/>
        <v>-0.58778525229247292</v>
      </c>
      <c r="E29" s="1">
        <f t="shared" si="2"/>
        <v>0.80901699437494767</v>
      </c>
      <c r="F29" s="1">
        <f t="shared" si="3"/>
        <v>-0.45399049973954692</v>
      </c>
      <c r="G29" s="1">
        <f t="shared" si="4"/>
        <v>-0.89100652418836779</v>
      </c>
      <c r="N29" s="1">
        <f t="shared" si="0"/>
        <v>1.6931950233191122</v>
      </c>
    </row>
    <row r="30" spans="1:14">
      <c r="A30">
        <v>1998</v>
      </c>
      <c r="B30">
        <v>2.97</v>
      </c>
      <c r="C30" s="1">
        <f t="shared" si="5"/>
        <v>28</v>
      </c>
      <c r="D30" s="1">
        <f t="shared" si="1"/>
        <v>-0.80901699437494723</v>
      </c>
      <c r="E30" s="1">
        <f t="shared" si="2"/>
        <v>0.58778525229247336</v>
      </c>
      <c r="F30" s="1">
        <f t="shared" si="3"/>
        <v>-0.30901699437494756</v>
      </c>
      <c r="G30" s="1">
        <f t="shared" si="4"/>
        <v>-0.95105651629515353</v>
      </c>
      <c r="N30" s="1">
        <f t="shared" si="0"/>
        <v>1.7614877344243765</v>
      </c>
    </row>
    <row r="31" spans="1:14">
      <c r="A31">
        <v>1999</v>
      </c>
      <c r="B31">
        <v>0.92</v>
      </c>
      <c r="C31" s="1">
        <f t="shared" si="5"/>
        <v>29</v>
      </c>
      <c r="D31" s="1">
        <f t="shared" si="1"/>
        <v>-0.95105651629515342</v>
      </c>
      <c r="E31" s="1">
        <f t="shared" si="2"/>
        <v>0.30901699437494778</v>
      </c>
      <c r="F31" s="1">
        <f t="shared" si="3"/>
        <v>-0.15643446504023104</v>
      </c>
      <c r="G31" s="1">
        <f t="shared" si="4"/>
        <v>-0.98768834059513766</v>
      </c>
      <c r="N31" s="1">
        <f t="shared" si="0"/>
        <v>1.827504415752907</v>
      </c>
    </row>
    <row r="32" spans="1:14">
      <c r="A32">
        <v>2000</v>
      </c>
      <c r="B32">
        <v>1.62</v>
      </c>
      <c r="C32" s="1">
        <f t="shared" si="5"/>
        <v>30</v>
      </c>
      <c r="D32" s="1">
        <f t="shared" si="1"/>
        <v>-1</v>
      </c>
      <c r="E32" s="1">
        <f t="shared" si="2"/>
        <v>3.67544536472586E-16</v>
      </c>
      <c r="F32" s="1">
        <f t="shared" si="3"/>
        <v>-1.83772268236293E-16</v>
      </c>
      <c r="G32" s="1">
        <f t="shared" si="4"/>
        <v>-1</v>
      </c>
      <c r="N32" s="1">
        <f t="shared" si="0"/>
        <v>1.8879282328604983</v>
      </c>
    </row>
    <row r="33" spans="1:14">
      <c r="A33">
        <v>2001</v>
      </c>
      <c r="B33">
        <v>1.62</v>
      </c>
      <c r="C33" s="1">
        <f t="shared" si="5"/>
        <v>31</v>
      </c>
      <c r="D33" s="1">
        <f t="shared" si="1"/>
        <v>-0.95105651629515364</v>
      </c>
      <c r="E33" s="1">
        <f t="shared" si="2"/>
        <v>-0.30901699437494706</v>
      </c>
      <c r="F33" s="1">
        <f t="shared" si="3"/>
        <v>0.15643446504023067</v>
      </c>
      <c r="G33" s="1">
        <f t="shared" si="4"/>
        <v>-0.98768834059513777</v>
      </c>
      <c r="N33" s="1">
        <f t="shared" si="0"/>
        <v>1.940214707856792</v>
      </c>
    </row>
    <row r="34" spans="1:14">
      <c r="A34">
        <v>2002</v>
      </c>
      <c r="B34">
        <v>2.5099999999999998</v>
      </c>
      <c r="C34" s="1">
        <f t="shared" si="5"/>
        <v>32</v>
      </c>
      <c r="D34" s="1">
        <f t="shared" si="1"/>
        <v>-0.80901699437494767</v>
      </c>
      <c r="E34" s="1">
        <f t="shared" si="2"/>
        <v>-0.5877852522924728</v>
      </c>
      <c r="F34" s="1">
        <f t="shared" si="3"/>
        <v>0.30901699437494723</v>
      </c>
      <c r="G34" s="1">
        <f t="shared" si="4"/>
        <v>-0.95105651629515364</v>
      </c>
      <c r="N34" s="1">
        <f t="shared" ref="N34:N56" si="6">M$2+L$2*C34+K$2*D34+J$2*E34+I$2*F34+H$2*G34</f>
        <v>1.9828240136454405</v>
      </c>
    </row>
    <row r="35" spans="1:14">
      <c r="A35">
        <v>2003</v>
      </c>
      <c r="B35">
        <v>2.2599999999999998</v>
      </c>
      <c r="C35" s="1">
        <f t="shared" si="5"/>
        <v>33</v>
      </c>
      <c r="D35" s="1">
        <f t="shared" si="1"/>
        <v>-0.58778525229247347</v>
      </c>
      <c r="E35" s="1">
        <f t="shared" si="2"/>
        <v>-0.80901699437494723</v>
      </c>
      <c r="F35" s="1">
        <f t="shared" si="3"/>
        <v>0.45399049973954664</v>
      </c>
      <c r="G35" s="1">
        <f t="shared" si="4"/>
        <v>-0.8910065241883679</v>
      </c>
      <c r="N35" s="1">
        <f t="shared" si="6"/>
        <v>2.0153498015599576</v>
      </c>
    </row>
    <row r="36" spans="1:14">
      <c r="A36">
        <v>2004</v>
      </c>
      <c r="B36">
        <v>1.59</v>
      </c>
      <c r="C36" s="1">
        <f t="shared" si="5"/>
        <v>34</v>
      </c>
      <c r="D36" s="1">
        <f t="shared" si="1"/>
        <v>-0.30901699437494784</v>
      </c>
      <c r="E36" s="1">
        <f t="shared" si="2"/>
        <v>-0.95105651629515342</v>
      </c>
      <c r="F36" s="1">
        <f t="shared" si="3"/>
        <v>0.58778525229247292</v>
      </c>
      <c r="G36" s="1">
        <f t="shared" si="4"/>
        <v>-0.80901699437494756</v>
      </c>
      <c r="N36" s="1">
        <f t="shared" si="6"/>
        <v>2.0385324911330525</v>
      </c>
    </row>
    <row r="37" spans="1:14">
      <c r="A37">
        <v>2005</v>
      </c>
      <c r="B37">
        <v>2.57</v>
      </c>
      <c r="C37" s="1">
        <f t="shared" si="5"/>
        <v>35</v>
      </c>
      <c r="D37" s="1">
        <f t="shared" si="1"/>
        <v>-4.28801959218017E-16</v>
      </c>
      <c r="E37" s="1">
        <f t="shared" si="2"/>
        <v>-1</v>
      </c>
      <c r="F37" s="1">
        <f t="shared" si="3"/>
        <v>0.70710678118654735</v>
      </c>
      <c r="G37" s="1">
        <f t="shared" si="4"/>
        <v>-0.70710678118654768</v>
      </c>
      <c r="N37" s="1">
        <f t="shared" si="6"/>
        <v>2.0541563732890147</v>
      </c>
    </row>
    <row r="38" spans="1:14">
      <c r="A38">
        <v>2006</v>
      </c>
      <c r="B38">
        <v>1.69</v>
      </c>
      <c r="C38" s="1">
        <f t="shared" si="5"/>
        <v>36</v>
      </c>
      <c r="D38" s="1">
        <f t="shared" si="1"/>
        <v>0.30901699437494701</v>
      </c>
      <c r="E38" s="1">
        <f t="shared" si="2"/>
        <v>-0.95105651629515375</v>
      </c>
      <c r="F38" s="1">
        <f t="shared" si="3"/>
        <v>0.80901699437494734</v>
      </c>
      <c r="G38" s="1">
        <f t="shared" si="4"/>
        <v>-0.58778525229247336</v>
      </c>
      <c r="N38" s="1">
        <f t="shared" si="6"/>
        <v>2.0648413482418162</v>
      </c>
    </row>
    <row r="39" spans="1:14">
      <c r="A39">
        <v>2007</v>
      </c>
      <c r="B39">
        <v>2.31</v>
      </c>
      <c r="C39" s="1">
        <f t="shared" si="5"/>
        <v>37</v>
      </c>
      <c r="D39" s="1">
        <f t="shared" si="1"/>
        <v>0.5877852522924728</v>
      </c>
      <c r="E39" s="1">
        <f t="shared" si="2"/>
        <v>-0.80901699437494767</v>
      </c>
      <c r="F39" s="1">
        <f t="shared" si="3"/>
        <v>0.89100652418836779</v>
      </c>
      <c r="G39" s="1">
        <f t="shared" si="4"/>
        <v>-0.45399049973954697</v>
      </c>
      <c r="N39" s="1">
        <f t="shared" si="6"/>
        <v>2.0737505116686346</v>
      </c>
    </row>
    <row r="40" spans="1:14">
      <c r="A40">
        <v>2008</v>
      </c>
      <c r="B40">
        <v>1.54</v>
      </c>
      <c r="C40" s="1">
        <f t="shared" si="5"/>
        <v>38</v>
      </c>
      <c r="D40" s="1">
        <f t="shared" si="1"/>
        <v>0.80901699437494712</v>
      </c>
      <c r="E40" s="1">
        <f t="shared" si="2"/>
        <v>-0.58778525229247347</v>
      </c>
      <c r="F40" s="1">
        <f t="shared" si="3"/>
        <v>0.95105651629515353</v>
      </c>
      <c r="G40" s="1">
        <f t="shared" si="4"/>
        <v>-0.30901699437494762</v>
      </c>
      <c r="N40" s="1">
        <f t="shared" si="6"/>
        <v>2.084243098109658</v>
      </c>
    </row>
    <row r="41" spans="1:14">
      <c r="A41">
        <v>2009</v>
      </c>
      <c r="B41">
        <v>2</v>
      </c>
      <c r="C41" s="1">
        <f t="shared" si="5"/>
        <v>39</v>
      </c>
      <c r="D41" s="1">
        <f t="shared" si="1"/>
        <v>0.95105651629515342</v>
      </c>
      <c r="E41" s="1">
        <f t="shared" si="2"/>
        <v>-0.3090169943749479</v>
      </c>
      <c r="F41" s="1">
        <f t="shared" si="3"/>
        <v>0.98768834059513766</v>
      </c>
      <c r="G41" s="1">
        <f t="shared" si="4"/>
        <v>-0.15643446504023112</v>
      </c>
      <c r="N41" s="1">
        <f t="shared" si="6"/>
        <v>2.0995076755817172</v>
      </c>
    </row>
    <row r="42" spans="1:14">
      <c r="A42">
        <v>2010</v>
      </c>
      <c r="B42">
        <v>2.2999999999999998</v>
      </c>
      <c r="C42" s="1">
        <f t="shared" si="5"/>
        <v>40</v>
      </c>
      <c r="D42" s="1">
        <f t="shared" si="1"/>
        <v>1</v>
      </c>
      <c r="E42" s="1">
        <f t="shared" si="2"/>
        <v>-4.90059381963448E-16</v>
      </c>
      <c r="F42" s="1">
        <f t="shared" si="3"/>
        <v>1</v>
      </c>
      <c r="G42" s="1">
        <f t="shared" si="4"/>
        <v>-2.45029690981724E-16</v>
      </c>
      <c r="N42" s="1">
        <f t="shared" si="6"/>
        <v>2.1222124320688835</v>
      </c>
    </row>
    <row r="43" spans="1:14">
      <c r="A43">
        <v>2011</v>
      </c>
      <c r="B43">
        <v>1.92</v>
      </c>
      <c r="C43" s="1">
        <f t="shared" si="5"/>
        <v>41</v>
      </c>
      <c r="D43" s="1">
        <f t="shared" si="1"/>
        <v>0.95105651629515431</v>
      </c>
      <c r="E43" s="1">
        <f t="shared" si="2"/>
        <v>0.30901699437494523</v>
      </c>
      <c r="F43" s="1">
        <f t="shared" si="3"/>
        <v>0.98768834059513788</v>
      </c>
      <c r="G43" s="1">
        <f t="shared" si="4"/>
        <v>0.15643446504022973</v>
      </c>
      <c r="N43" s="1">
        <f t="shared" si="6"/>
        <v>2.1542077119802578</v>
      </c>
    </row>
    <row r="44" spans="1:14">
      <c r="A44">
        <v>2012</v>
      </c>
      <c r="B44">
        <v>2.65</v>
      </c>
      <c r="C44" s="1">
        <f t="shared" si="5"/>
        <v>42</v>
      </c>
      <c r="D44" s="1">
        <f t="shared" si="1"/>
        <v>0.80901699437494767</v>
      </c>
      <c r="E44" s="1">
        <f t="shared" si="2"/>
        <v>0.58778525229247269</v>
      </c>
      <c r="F44" s="1">
        <f t="shared" si="3"/>
        <v>0.95105651629515364</v>
      </c>
      <c r="G44" s="1">
        <f t="shared" si="4"/>
        <v>0.30901699437494717</v>
      </c>
      <c r="N44" s="1">
        <f t="shared" si="6"/>
        <v>2.1963108137798208</v>
      </c>
    </row>
    <row r="45" spans="1:14">
      <c r="A45">
        <v>2013</v>
      </c>
      <c r="B45">
        <v>1.99</v>
      </c>
      <c r="C45" s="1">
        <f t="shared" si="5"/>
        <v>43</v>
      </c>
      <c r="D45" s="1">
        <f t="shared" si="1"/>
        <v>0.58778525229247358</v>
      </c>
      <c r="E45" s="1">
        <f t="shared" si="2"/>
        <v>0.80901699437494712</v>
      </c>
      <c r="F45" s="1">
        <f t="shared" si="3"/>
        <v>0.89100652418836801</v>
      </c>
      <c r="G45" s="1">
        <f t="shared" si="4"/>
        <v>0.45399049973954658</v>
      </c>
      <c r="N45" s="1">
        <f t="shared" si="6"/>
        <v>2.2481949534034404</v>
      </c>
    </row>
    <row r="46" spans="1:14">
      <c r="A46">
        <v>2014</v>
      </c>
      <c r="B46">
        <v>2.17</v>
      </c>
      <c r="C46" s="1">
        <f t="shared" si="5"/>
        <v>44</v>
      </c>
      <c r="D46" s="1">
        <f t="shared" si="1"/>
        <v>0.30901699437494962</v>
      </c>
      <c r="E46" s="1">
        <f t="shared" si="2"/>
        <v>0.95105651629515287</v>
      </c>
      <c r="F46" s="1">
        <f t="shared" si="3"/>
        <v>0.80901699437494812</v>
      </c>
      <c r="G46" s="1">
        <f t="shared" si="4"/>
        <v>0.58778525229247214</v>
      </c>
      <c r="N46" s="1">
        <f t="shared" si="6"/>
        <v>2.3083940266504963</v>
      </c>
    </row>
    <row r="47" spans="1:14">
      <c r="A47">
        <v>2015</v>
      </c>
      <c r="B47">
        <v>2.95</v>
      </c>
      <c r="C47" s="1">
        <f t="shared" si="5"/>
        <v>45</v>
      </c>
      <c r="D47" s="1">
        <f t="shared" si="1"/>
        <v>5.51316804708879E-16</v>
      </c>
      <c r="E47" s="1">
        <f t="shared" si="2"/>
        <v>1</v>
      </c>
      <c r="F47" s="1">
        <f t="shared" si="3"/>
        <v>0.70710678118654768</v>
      </c>
      <c r="G47" s="1">
        <f t="shared" si="4"/>
        <v>0.70710678118654735</v>
      </c>
      <c r="N47" s="1">
        <f t="shared" si="6"/>
        <v>2.3744233747564265</v>
      </c>
    </row>
    <row r="48" spans="1:14">
      <c r="A48">
        <v>2016</v>
      </c>
      <c r="B48">
        <v>3.03</v>
      </c>
      <c r="C48" s="1">
        <f t="shared" si="5"/>
        <v>46</v>
      </c>
      <c r="D48" s="1">
        <f t="shared" si="1"/>
        <v>-0.3090169943749469</v>
      </c>
      <c r="E48" s="1">
        <f t="shared" si="2"/>
        <v>0.95105651629515375</v>
      </c>
      <c r="F48" s="1">
        <f t="shared" si="3"/>
        <v>0.58778525229247336</v>
      </c>
      <c r="G48" s="1">
        <f t="shared" si="4"/>
        <v>0.80901699437494723</v>
      </c>
      <c r="N48" s="1">
        <f t="shared" si="6"/>
        <v>2.4430052918752443</v>
      </c>
    </row>
    <row r="49" spans="1:14">
      <c r="A49">
        <v>2017</v>
      </c>
      <c r="B49">
        <v>1.9</v>
      </c>
      <c r="C49" s="1">
        <f t="shared" si="5"/>
        <v>47</v>
      </c>
      <c r="D49" s="1">
        <f t="shared" si="1"/>
        <v>-0.58778525229247414</v>
      </c>
      <c r="E49" s="1">
        <f t="shared" si="2"/>
        <v>0.80901699437494667</v>
      </c>
      <c r="F49" s="1">
        <f t="shared" si="3"/>
        <v>0.45399049973954625</v>
      </c>
      <c r="G49" s="1">
        <f t="shared" si="4"/>
        <v>0.89100652418836812</v>
      </c>
      <c r="N49" s="1">
        <f t="shared" si="6"/>
        <v>2.5103776362638022</v>
      </c>
    </row>
    <row r="50" spans="1:14">
      <c r="A50">
        <v>2018</v>
      </c>
      <c r="B50">
        <v>2.85</v>
      </c>
      <c r="C50" s="1">
        <f t="shared" si="5"/>
        <v>48</v>
      </c>
      <c r="D50" s="1">
        <f t="shared" si="1"/>
        <v>-0.80901699437494712</v>
      </c>
      <c r="E50" s="1">
        <f t="shared" si="2"/>
        <v>0.58778525229247358</v>
      </c>
      <c r="F50" s="1">
        <f t="shared" si="3"/>
        <v>0.30901699437494773</v>
      </c>
      <c r="G50" s="1">
        <f t="shared" si="4"/>
        <v>0.95105651629515353</v>
      </c>
      <c r="N50" s="1">
        <f t="shared" si="6"/>
        <v>2.5726556373842526</v>
      </c>
    </row>
    <row r="51" spans="1:14">
      <c r="A51">
        <v>2019</v>
      </c>
      <c r="B51">
        <v>2.4900000000000002</v>
      </c>
      <c r="C51" s="1">
        <f t="shared" si="5"/>
        <v>49</v>
      </c>
      <c r="D51" s="1">
        <f t="shared" si="1"/>
        <v>-0.95105651629515287</v>
      </c>
      <c r="E51" s="1">
        <f t="shared" si="2"/>
        <v>0.30901699437494967</v>
      </c>
      <c r="F51" s="1">
        <f t="shared" si="3"/>
        <v>0.15643446504023203</v>
      </c>
      <c r="G51" s="1">
        <f t="shared" si="4"/>
        <v>0.98768834059513755</v>
      </c>
      <c r="N51" s="1">
        <f t="shared" si="6"/>
        <v>2.6262116417308343</v>
      </c>
    </row>
    <row r="52" spans="1:14">
      <c r="A52">
        <v>2020</v>
      </c>
      <c r="B52">
        <v>2.2999999999999998</v>
      </c>
      <c r="C52" s="1">
        <f t="shared" si="5"/>
        <v>50</v>
      </c>
      <c r="D52" s="1">
        <f t="shared" si="1"/>
        <v>-1</v>
      </c>
      <c r="E52" s="1">
        <f t="shared" si="2"/>
        <v>6.1257422745431001E-16</v>
      </c>
      <c r="F52" s="1">
        <f t="shared" si="3"/>
        <v>3.06287113727155E-16</v>
      </c>
      <c r="G52" s="1">
        <f t="shared" si="4"/>
        <v>1</v>
      </c>
      <c r="N52" s="1">
        <f t="shared" si="6"/>
        <v>2.668035638081252</v>
      </c>
    </row>
    <row r="53" spans="1:14">
      <c r="A53">
        <v>2021</v>
      </c>
      <c r="B53">
        <v>2.34</v>
      </c>
      <c r="C53" s="1">
        <f t="shared" si="5"/>
        <v>51</v>
      </c>
      <c r="D53" s="1">
        <f t="shared" si="1"/>
        <v>-0.95105651629515431</v>
      </c>
      <c r="E53" s="1">
        <f t="shared" si="2"/>
        <v>-0.30901699437494512</v>
      </c>
      <c r="F53" s="1">
        <f t="shared" si="3"/>
        <v>-0.15643446504022968</v>
      </c>
      <c r="G53" s="1">
        <f t="shared" si="4"/>
        <v>0.98768834059513788</v>
      </c>
      <c r="N53" s="1">
        <f t="shared" si="6"/>
        <v>2.6960411378614553</v>
      </c>
    </row>
    <row r="54" spans="1:14">
      <c r="A54">
        <v>2022</v>
      </c>
      <c r="B54">
        <v>1.83</v>
      </c>
      <c r="C54" s="1">
        <f t="shared" si="5"/>
        <v>52</v>
      </c>
      <c r="D54" s="1">
        <f t="shared" si="1"/>
        <v>-0.80901699437494778</v>
      </c>
      <c r="E54" s="1">
        <f t="shared" si="2"/>
        <v>-0.58778525229247258</v>
      </c>
      <c r="F54" s="1">
        <f t="shared" si="3"/>
        <v>-0.30901699437494712</v>
      </c>
      <c r="G54" s="1">
        <f t="shared" si="4"/>
        <v>0.95105651629515364</v>
      </c>
      <c r="N54" s="1">
        <f t="shared" si="6"/>
        <v>2.7092861921688529</v>
      </c>
    </row>
    <row r="55" spans="1:14">
      <c r="A55">
        <v>2023</v>
      </c>
      <c r="B55">
        <v>3.36</v>
      </c>
      <c r="C55" s="1">
        <f t="shared" si="5"/>
        <v>53</v>
      </c>
      <c r="D55" s="1">
        <f>COS(C55*2*PI()/20)</f>
        <v>-0.58778525229247225</v>
      </c>
      <c r="E55" s="1">
        <f>SIN(C55*2*PI()/20)</f>
        <v>-0.80901699437494812</v>
      </c>
      <c r="F55" s="1">
        <f>COS(C55*2*PI()/40)</f>
        <v>-0.4539904997395473</v>
      </c>
      <c r="G55" s="1">
        <f>SIN(C55*2*PI()/40)</f>
        <v>0.89100652418836757</v>
      </c>
      <c r="N55" s="1">
        <f t="shared" si="6"/>
        <v>2.7080874976627909</v>
      </c>
    </row>
    <row r="56" spans="1:14">
      <c r="A56" s="1">
        <v>2024</v>
      </c>
      <c r="B56">
        <v>3.33</v>
      </c>
      <c r="C56" s="1">
        <f t="shared" si="5"/>
        <v>54</v>
      </c>
      <c r="D56" s="1">
        <f>COS(C56*2*PI()/20)</f>
        <v>-0.30901699437494806</v>
      </c>
      <c r="E56" s="1">
        <f>SIN(C56*2*PI()/20)</f>
        <v>-0.95105651629515342</v>
      </c>
      <c r="F56" s="1">
        <f>COS(C56*2*PI()/40)</f>
        <v>-0.58778525229247292</v>
      </c>
      <c r="G56" s="1">
        <f>SIN(C56*2*PI()/40)</f>
        <v>0.80901699437494767</v>
      </c>
      <c r="N56" s="1">
        <f t="shared" si="6"/>
        <v>2.6940158825583125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tabSelected="1" zoomScale="145" zoomScaleNormal="145" workbookViewId="0">
      <selection activeCell="O5" sqref="O5"/>
    </sheetView>
  </sheetViews>
  <sheetFormatPr defaultRowHeight="14.25"/>
  <cols>
    <col min="3" max="3" width="12" bestFit="1" customWidth="1"/>
  </cols>
  <sheetData>
    <row r="1" spans="1:15">
      <c r="A1" t="s">
        <v>0</v>
      </c>
      <c r="B1" t="s">
        <v>9</v>
      </c>
      <c r="D1" t="s">
        <v>9</v>
      </c>
      <c r="F1" t="s">
        <v>9</v>
      </c>
      <c r="H1" t="s">
        <v>9</v>
      </c>
      <c r="J1" t="s">
        <v>9</v>
      </c>
      <c r="L1" t="s">
        <v>10</v>
      </c>
      <c r="N1" t="s">
        <v>11</v>
      </c>
    </row>
    <row r="2" spans="1:15">
      <c r="A2">
        <v>1982</v>
      </c>
      <c r="B2">
        <v>-3.8084476863888699</v>
      </c>
      <c r="C2">
        <f>SLOPE(B2:B44,$A2:$A44)</f>
        <v>0.22266740786398098</v>
      </c>
      <c r="D2">
        <v>1.5377167416023501</v>
      </c>
      <c r="E2">
        <f>SLOPE(D2:D44,$A2:$A44)</f>
        <v>3.6655762415258995E-2</v>
      </c>
      <c r="F2">
        <v>2.3936407729992202</v>
      </c>
      <c r="G2">
        <f>SLOPE(F2:F44,$A2:$A44)</f>
        <v>6.1141876114887955E-3</v>
      </c>
      <c r="H2">
        <v>2.61686716440129</v>
      </c>
      <c r="I2">
        <f>SLOPE(H2:H44,$A2:$A44)</f>
        <v>1.2535883778670822E-3</v>
      </c>
      <c r="J2">
        <v>2.65278738821941</v>
      </c>
      <c r="K2">
        <f>SLOPE(J2:J44,$A2:$A44)</f>
        <v>-5.5932314918758928E-4</v>
      </c>
      <c r="L2">
        <v>0.84848955812920102</v>
      </c>
      <c r="M2">
        <f>SLOPE(L2:L44,$A2:$A44)</f>
        <v>3.3814903167812983E-3</v>
      </c>
      <c r="N2">
        <v>4.5350940674930698</v>
      </c>
      <c r="O2">
        <f>SLOPE(N2:N44,$A2:$A44)</f>
        <v>-1.3524828635766021E-2</v>
      </c>
    </row>
    <row r="3" spans="1:15">
      <c r="A3">
        <v>1983</v>
      </c>
      <c r="B3">
        <v>-6.14964934545704</v>
      </c>
      <c r="C3">
        <f>C2</f>
        <v>0.22266740786398098</v>
      </c>
      <c r="D3">
        <v>-0.547703597187708</v>
      </c>
      <c r="E3">
        <f>C3+E2</f>
        <v>0.25932317027923996</v>
      </c>
      <c r="F3">
        <v>0.28315284077167802</v>
      </c>
      <c r="G3">
        <f>E3+G2</f>
        <v>0.26543735789072875</v>
      </c>
      <c r="H3">
        <v>0.41591050331369001</v>
      </c>
      <c r="I3">
        <f>G3+I2</f>
        <v>0.26669094626859585</v>
      </c>
      <c r="J3">
        <v>0.612728105998541</v>
      </c>
      <c r="K3">
        <f>I3+K2</f>
        <v>0.26613162311940824</v>
      </c>
      <c r="L3">
        <v>0.48428378503769598</v>
      </c>
      <c r="M3">
        <f>K3+M2</f>
        <v>0.26951311343618956</v>
      </c>
      <c r="N3">
        <v>0.592957679552095</v>
      </c>
      <c r="O3">
        <f>M3+O2</f>
        <v>0.25598828480042352</v>
      </c>
    </row>
    <row r="4" spans="1:15">
      <c r="A4">
        <v>1984</v>
      </c>
      <c r="B4">
        <v>-6.3694286078160003</v>
      </c>
      <c r="D4">
        <v>-1.0609518014497501</v>
      </c>
      <c r="F4">
        <v>-0.35279151003876602</v>
      </c>
      <c r="H4">
        <v>-0.24581919135970201</v>
      </c>
      <c r="J4">
        <v>-0.16750502825944699</v>
      </c>
      <c r="L4">
        <v>0.82114330411588099</v>
      </c>
      <c r="N4">
        <v>0.99514219200105303</v>
      </c>
    </row>
    <row r="5" spans="1:15">
      <c r="A5">
        <v>1985</v>
      </c>
      <c r="B5">
        <v>0.46978827975723803</v>
      </c>
      <c r="C5">
        <f>AVERAGE(B2:B44)</f>
        <v>-1.6509528893752528</v>
      </c>
      <c r="D5">
        <v>5.1689640774374697</v>
      </c>
      <c r="E5">
        <f>AVERAGE(D2:D44)</f>
        <v>-0.36387820317962077</v>
      </c>
      <c r="F5">
        <v>5.9047824833530997</v>
      </c>
      <c r="G5">
        <f>AVERAGE(F2:F44)</f>
        <v>-0.14971807663528727</v>
      </c>
      <c r="H5">
        <v>6.1048759261960601</v>
      </c>
      <c r="I5">
        <f>AVERAGE(H2:H44)</f>
        <v>-0.11995155761999508</v>
      </c>
      <c r="J5">
        <v>6.0298260511666504</v>
      </c>
      <c r="K5">
        <f>AVERAGE(J2:J44)</f>
        <v>-0.10287441843281347</v>
      </c>
      <c r="L5">
        <v>6.0224710642680401</v>
      </c>
      <c r="M5">
        <f>AVERAGE(L2:L44)</f>
        <v>-0.10046142952675739</v>
      </c>
      <c r="N5">
        <v>5.7888222210758498</v>
      </c>
      <c r="O5">
        <f>AVERAGE(N2:N44)</f>
        <v>-9.5361275088945041E-2</v>
      </c>
    </row>
    <row r="6" spans="1:15">
      <c r="A6">
        <v>1986</v>
      </c>
      <c r="B6">
        <v>-5.41330981389026</v>
      </c>
      <c r="C6">
        <f>STDEV(B2:B44)</f>
        <v>3.6788337988958739</v>
      </c>
      <c r="D6">
        <v>-0.96376069358305505</v>
      </c>
      <c r="E6">
        <f>STDEV(D2:D44)</f>
        <v>2.4733144366780007</v>
      </c>
      <c r="F6">
        <v>-0.26824501717801402</v>
      </c>
      <c r="G6">
        <f>STDEV(F2:F44)</f>
        <v>2.4257522185169709</v>
      </c>
      <c r="H6">
        <v>-0.18003704960313099</v>
      </c>
      <c r="I6">
        <f>STDEV(H2:H44)</f>
        <v>2.4379372550278666</v>
      </c>
      <c r="J6">
        <v>-0.15344920488768701</v>
      </c>
      <c r="K6">
        <f>STDEV(J2:J44)</f>
        <v>2.4269373099707097</v>
      </c>
      <c r="L6">
        <v>-0.31242298097957999</v>
      </c>
      <c r="M6">
        <f>STDEV(L2:L44)</f>
        <v>2.4092874995354809</v>
      </c>
      <c r="N6">
        <v>1.37599023030776</v>
      </c>
      <c r="O6">
        <f>STDEV(N2:N44)</f>
        <v>2.3489219274974475</v>
      </c>
    </row>
    <row r="7" spans="1:15">
      <c r="A7">
        <v>1987</v>
      </c>
      <c r="B7">
        <v>-2.6298019749076902</v>
      </c>
      <c r="D7">
        <v>1.61820934707762</v>
      </c>
      <c r="F7">
        <v>2.37669132769352</v>
      </c>
      <c r="H7">
        <v>2.47296034932765</v>
      </c>
      <c r="J7">
        <v>2.516211579003</v>
      </c>
      <c r="L7">
        <v>2.70531839075529</v>
      </c>
      <c r="N7">
        <v>2.0306943927997398</v>
      </c>
    </row>
    <row r="8" spans="1:15">
      <c r="A8">
        <v>1988</v>
      </c>
      <c r="B8">
        <v>-8.5892244419801607</v>
      </c>
      <c r="D8">
        <v>-4.5455861104249697</v>
      </c>
      <c r="F8">
        <v>-3.8552923082048798</v>
      </c>
      <c r="H8">
        <v>-3.8583200824391399</v>
      </c>
      <c r="J8">
        <v>-3.7414823214365298</v>
      </c>
      <c r="L8">
        <v>-3.1399782972372701</v>
      </c>
      <c r="N8">
        <v>-2.9558621591983401</v>
      </c>
    </row>
    <row r="9" spans="1:15">
      <c r="A9">
        <v>1989</v>
      </c>
      <c r="B9">
        <v>-8.61450785781037</v>
      </c>
      <c r="D9">
        <v>-4.4434111536873901</v>
      </c>
      <c r="F9">
        <v>-3.67992463247993</v>
      </c>
      <c r="H9">
        <v>-3.5955287087476901</v>
      </c>
      <c r="J9">
        <v>-3.48291354653397</v>
      </c>
      <c r="L9">
        <v>-3.36272364325563</v>
      </c>
      <c r="N9">
        <v>-2.1889773567798501</v>
      </c>
    </row>
    <row r="10" spans="1:15">
      <c r="A10">
        <v>1990</v>
      </c>
      <c r="B10">
        <v>-8.4160103165039608</v>
      </c>
      <c r="D10">
        <v>-5.0180839265441497</v>
      </c>
      <c r="F10">
        <v>-4.3084095548042196</v>
      </c>
      <c r="H10">
        <v>-4.3179805157795697</v>
      </c>
      <c r="J10">
        <v>-4.2744868627713499</v>
      </c>
      <c r="L10">
        <v>-4.4314863487192797</v>
      </c>
      <c r="N10">
        <v>-5.9584839152838596</v>
      </c>
    </row>
    <row r="11" spans="1:15">
      <c r="A11">
        <v>1991</v>
      </c>
      <c r="B11">
        <v>-2.99152040883813</v>
      </c>
      <c r="D11">
        <v>0.243035346485724</v>
      </c>
      <c r="F11">
        <v>0.86290744106659001</v>
      </c>
      <c r="H11">
        <v>0.959276968379001</v>
      </c>
      <c r="J11">
        <v>0.91768650362878301</v>
      </c>
      <c r="L11">
        <v>1.0566277476564701</v>
      </c>
      <c r="N11">
        <v>0.76437643745355299</v>
      </c>
    </row>
    <row r="12" spans="1:15">
      <c r="A12">
        <v>1992</v>
      </c>
      <c r="B12">
        <v>1.9972950408877199</v>
      </c>
      <c r="D12">
        <v>5.0483210066174902</v>
      </c>
      <c r="F12">
        <v>5.5451283736603703</v>
      </c>
      <c r="H12">
        <v>5.6213005117305697</v>
      </c>
      <c r="J12">
        <v>5.68653567582958</v>
      </c>
      <c r="L12">
        <v>5.6338625334038301</v>
      </c>
      <c r="N12">
        <v>4.7714190668996297</v>
      </c>
    </row>
    <row r="13" spans="1:15">
      <c r="A13">
        <v>1993</v>
      </c>
      <c r="B13">
        <v>-1.2607819756254901</v>
      </c>
      <c r="D13">
        <v>1.7978035895881701</v>
      </c>
      <c r="F13">
        <v>2.2469358662076102</v>
      </c>
      <c r="H13">
        <v>2.4034198554108599</v>
      </c>
      <c r="J13">
        <v>2.3501071635524302</v>
      </c>
      <c r="L13">
        <v>2.3488358049707001</v>
      </c>
      <c r="N13">
        <v>2.1904296359300699</v>
      </c>
    </row>
    <row r="14" spans="1:15">
      <c r="A14">
        <v>1994</v>
      </c>
      <c r="B14">
        <v>-5.6004409612066803</v>
      </c>
      <c r="D14">
        <v>-2.8362682945711799</v>
      </c>
      <c r="F14">
        <v>-2.4334515165915702</v>
      </c>
      <c r="H14">
        <v>-2.3419142570806799</v>
      </c>
      <c r="J14">
        <v>-2.3123813579425598</v>
      </c>
      <c r="L14">
        <v>-2.38865375955384</v>
      </c>
      <c r="N14">
        <v>-2.61003824736517</v>
      </c>
    </row>
    <row r="15" spans="1:15">
      <c r="A15">
        <v>1995</v>
      </c>
      <c r="B15">
        <v>-5.9303199712608796</v>
      </c>
      <c r="D15">
        <v>-3.4456861876310199</v>
      </c>
      <c r="F15">
        <v>-3.0031761156638801</v>
      </c>
      <c r="H15">
        <v>-2.96389192055371</v>
      </c>
      <c r="J15">
        <v>-2.91791014203632</v>
      </c>
      <c r="L15">
        <v>-2.7618634888595799</v>
      </c>
      <c r="N15">
        <v>-2.9713686800315</v>
      </c>
    </row>
    <row r="16" spans="1:15">
      <c r="A16">
        <v>1996</v>
      </c>
      <c r="B16">
        <v>-4.4918460642575901</v>
      </c>
      <c r="D16">
        <v>-2.2187109908826201</v>
      </c>
      <c r="F16">
        <v>-1.7957217271577299</v>
      </c>
      <c r="H16">
        <v>-1.74353663477953</v>
      </c>
      <c r="J16">
        <v>-1.7525606970868699</v>
      </c>
      <c r="L16">
        <v>-1.4990320773078301</v>
      </c>
      <c r="N16">
        <v>-2.0296139760905501</v>
      </c>
    </row>
    <row r="17" spans="1:14">
      <c r="A17">
        <v>1997</v>
      </c>
      <c r="B17">
        <v>-1.25680985701961</v>
      </c>
      <c r="D17">
        <v>0.97930465903208497</v>
      </c>
      <c r="F17">
        <v>1.41739708864171</v>
      </c>
      <c r="H17">
        <v>1.4471605995294099</v>
      </c>
      <c r="J17">
        <v>1.4819927506808099</v>
      </c>
      <c r="L17">
        <v>1.5312925233955801</v>
      </c>
      <c r="N17">
        <v>0.120182007917294</v>
      </c>
    </row>
    <row r="18" spans="1:14">
      <c r="A18">
        <v>1998</v>
      </c>
      <c r="B18">
        <v>-0.446565302142025</v>
      </c>
      <c r="D18">
        <v>1.6250861189739401</v>
      </c>
      <c r="F18">
        <v>1.9659728249072801</v>
      </c>
      <c r="H18">
        <v>2.0100366936479399</v>
      </c>
      <c r="J18">
        <v>2.0107889801271601</v>
      </c>
      <c r="L18">
        <v>1.7749420598247601</v>
      </c>
      <c r="N18">
        <v>1.2494829860122401</v>
      </c>
    </row>
    <row r="19" spans="1:14">
      <c r="A19">
        <v>1999</v>
      </c>
      <c r="B19">
        <v>-4.8491345773072903</v>
      </c>
      <c r="D19">
        <v>-3.0521596852772102</v>
      </c>
      <c r="F19">
        <v>-2.7709239544624298</v>
      </c>
      <c r="H19">
        <v>-2.73625520694547</v>
      </c>
      <c r="J19">
        <v>-2.7225801050365299</v>
      </c>
      <c r="L19">
        <v>-3.2265748566856098</v>
      </c>
      <c r="N19">
        <v>-1.74943800229035</v>
      </c>
    </row>
    <row r="20" spans="1:14">
      <c r="A20">
        <v>2000</v>
      </c>
      <c r="B20">
        <v>-6.4027179116860697</v>
      </c>
      <c r="D20">
        <v>-4.9736189818875198</v>
      </c>
      <c r="F20">
        <v>-4.6971614064129996</v>
      </c>
      <c r="H20">
        <v>-4.6176996142076101</v>
      </c>
      <c r="J20">
        <v>-4.6015128641816201</v>
      </c>
      <c r="L20">
        <v>-4.5645690360103099</v>
      </c>
      <c r="N20">
        <v>-4.0096004271242602</v>
      </c>
    </row>
    <row r="21" spans="1:14">
      <c r="A21">
        <v>2001</v>
      </c>
      <c r="B21">
        <v>-7.8459465401025899</v>
      </c>
      <c r="D21">
        <v>-6.4413038339002799</v>
      </c>
      <c r="F21">
        <v>-6.2074637738837497</v>
      </c>
      <c r="H21">
        <v>-6.1068381896891699</v>
      </c>
      <c r="J21">
        <v>-6.1287451164013902</v>
      </c>
      <c r="L21">
        <v>-6.0376533949692304</v>
      </c>
      <c r="N21">
        <v>-4.6541138200357697</v>
      </c>
    </row>
    <row r="22" spans="1:14">
      <c r="A22">
        <v>2002</v>
      </c>
      <c r="B22">
        <v>-1.65092330992973</v>
      </c>
      <c r="D22">
        <v>-0.21486066960368799</v>
      </c>
      <c r="F22">
        <v>1.98600753045436E-2</v>
      </c>
      <c r="H22">
        <v>7.6552324804308097E-2</v>
      </c>
      <c r="J22">
        <v>0.121591074204956</v>
      </c>
      <c r="L22" s="2">
        <v>-1.2510927804621099E-5</v>
      </c>
      <c r="N22">
        <v>-0.28065116874826401</v>
      </c>
    </row>
    <row r="23" spans="1:14">
      <c r="A23">
        <v>2003</v>
      </c>
      <c r="B23">
        <v>-3.4234367718816201</v>
      </c>
      <c r="D23">
        <v>-2.1165188830534798</v>
      </c>
      <c r="F23">
        <v>-1.8781389894402201</v>
      </c>
      <c r="H23">
        <v>-1.8654253266938301</v>
      </c>
      <c r="J23">
        <v>-1.8304061040683199</v>
      </c>
      <c r="L23">
        <v>-1.8602442829058801</v>
      </c>
      <c r="N23">
        <v>-2.0946746419638198</v>
      </c>
    </row>
    <row r="24" spans="1:14">
      <c r="A24">
        <v>2004</v>
      </c>
      <c r="B24">
        <v>-1.4615292624556599</v>
      </c>
      <c r="D24">
        <v>-0.26473666116517103</v>
      </c>
      <c r="F24">
        <v>-5.5340408975841603E-2</v>
      </c>
      <c r="H24">
        <v>-3.4039212148309503E-2</v>
      </c>
      <c r="J24">
        <v>-1.525064692357E-2</v>
      </c>
      <c r="L24">
        <v>-0.221730549150849</v>
      </c>
      <c r="N24">
        <v>-0.68829436756687001</v>
      </c>
    </row>
    <row r="25" spans="1:14">
      <c r="A25">
        <v>2005</v>
      </c>
      <c r="B25">
        <v>-2.73125465903779</v>
      </c>
      <c r="D25">
        <v>-1.6512396133048499</v>
      </c>
      <c r="F25">
        <v>-1.47696145987031</v>
      </c>
      <c r="H25">
        <v>-1.46330065563595</v>
      </c>
      <c r="J25">
        <v>-1.44290702105045</v>
      </c>
      <c r="L25">
        <v>-1.61922394289553</v>
      </c>
      <c r="N25">
        <v>-1.8697075915105299</v>
      </c>
    </row>
    <row r="26" spans="1:14">
      <c r="A26">
        <v>2006</v>
      </c>
      <c r="B26">
        <v>-0.74222688832505201</v>
      </c>
      <c r="D26">
        <v>0.17679904443499</v>
      </c>
      <c r="F26">
        <v>0.32659499215524102</v>
      </c>
      <c r="H26">
        <v>0.29087791840774002</v>
      </c>
      <c r="J26">
        <v>0.323177639682587</v>
      </c>
      <c r="L26">
        <v>0.26677575923236901</v>
      </c>
      <c r="N26">
        <v>-0.22961645624431401</v>
      </c>
    </row>
    <row r="27" spans="1:14">
      <c r="A27">
        <v>2007</v>
      </c>
      <c r="B27">
        <v>-0.80583562477028003</v>
      </c>
      <c r="D27">
        <v>4.8329928386791801E-2</v>
      </c>
      <c r="F27">
        <v>0.166282271891879</v>
      </c>
      <c r="H27">
        <v>0.20079207235235499</v>
      </c>
      <c r="J27">
        <v>0.174388618769172</v>
      </c>
      <c r="L27">
        <v>0.41746742163045297</v>
      </c>
      <c r="N27">
        <v>0.63103828938856898</v>
      </c>
    </row>
    <row r="28" spans="1:14">
      <c r="A28">
        <v>2008</v>
      </c>
      <c r="B28">
        <v>-0.51706025214517903</v>
      </c>
      <c r="D28">
        <v>7.2629896109988497E-3</v>
      </c>
      <c r="F28">
        <v>0.114131777688217</v>
      </c>
      <c r="H28">
        <v>0.117261004716209</v>
      </c>
      <c r="J28">
        <v>0.112939883571504</v>
      </c>
      <c r="L28">
        <v>0.32692047249135803</v>
      </c>
      <c r="N28">
        <v>0.111667884756535</v>
      </c>
    </row>
    <row r="29" spans="1:14">
      <c r="A29">
        <v>2009</v>
      </c>
      <c r="B29">
        <v>2.13612026164077</v>
      </c>
      <c r="D29">
        <v>2.3360223043330399</v>
      </c>
      <c r="F29">
        <v>2.3798946999597499</v>
      </c>
      <c r="H29">
        <v>2.38734931196475</v>
      </c>
      <c r="J29">
        <v>2.4116390655551099</v>
      </c>
      <c r="L29">
        <v>2.4900496113225499</v>
      </c>
      <c r="N29">
        <v>2.8500452560206901</v>
      </c>
    </row>
    <row r="30" spans="1:14">
      <c r="A30">
        <v>2010</v>
      </c>
      <c r="B30">
        <v>0.63998067015556004</v>
      </c>
      <c r="D30">
        <v>0.81137148706295403</v>
      </c>
      <c r="F30">
        <v>0.84124642348493295</v>
      </c>
      <c r="H30">
        <v>0.83938035877484396</v>
      </c>
      <c r="J30">
        <v>0.83916922047252696</v>
      </c>
      <c r="L30">
        <v>1.1424770282353101</v>
      </c>
      <c r="N30">
        <v>0.82865393780846697</v>
      </c>
    </row>
    <row r="31" spans="1:14">
      <c r="A31">
        <v>2011</v>
      </c>
      <c r="B31">
        <v>1.38008622191765</v>
      </c>
      <c r="D31">
        <v>1.3323746437542301</v>
      </c>
      <c r="F31">
        <v>1.3186431313371201</v>
      </c>
      <c r="H31">
        <v>1.3105336348193299</v>
      </c>
      <c r="J31">
        <v>1.3090155772229699</v>
      </c>
      <c r="L31">
        <v>1.3860184581297501</v>
      </c>
      <c r="N31">
        <v>1.28382065177099</v>
      </c>
    </row>
    <row r="32" spans="1:14">
      <c r="A32">
        <v>2012</v>
      </c>
      <c r="B32">
        <v>-0.36110284556449801</v>
      </c>
      <c r="D32">
        <v>-0.69587881562750697</v>
      </c>
      <c r="F32">
        <v>-0.75331163386145505</v>
      </c>
      <c r="H32">
        <v>-0.73672161180982898</v>
      </c>
      <c r="J32">
        <v>-0.72814616249927999</v>
      </c>
      <c r="L32">
        <v>-1.0237489408495599</v>
      </c>
      <c r="N32">
        <v>-0.55795833059921995</v>
      </c>
    </row>
    <row r="33" spans="1:14">
      <c r="A33">
        <v>2013</v>
      </c>
      <c r="B33">
        <v>0.57377423219787804</v>
      </c>
      <c r="D33">
        <v>2.1694645732314902E-2</v>
      </c>
      <c r="F33">
        <v>-3.4936656021373601E-2</v>
      </c>
      <c r="H33">
        <v>-6.0697280118356199E-2</v>
      </c>
      <c r="J33">
        <v>-3.8774034524639803E-2</v>
      </c>
      <c r="L33">
        <v>-0.26722162629041102</v>
      </c>
      <c r="N33">
        <v>-0.57418229378396202</v>
      </c>
    </row>
    <row r="34" spans="1:14">
      <c r="A34">
        <v>2014</v>
      </c>
      <c r="B34">
        <v>2.2572248637993702</v>
      </c>
      <c r="D34">
        <v>1.64186944772272</v>
      </c>
      <c r="F34">
        <v>1.54297671886702</v>
      </c>
      <c r="H34">
        <v>1.5230984793864699</v>
      </c>
      <c r="J34">
        <v>1.5440381403954599</v>
      </c>
      <c r="L34">
        <v>1.8252639324459601</v>
      </c>
      <c r="N34">
        <v>1.4911772653878099</v>
      </c>
    </row>
    <row r="35" spans="1:14">
      <c r="A35">
        <v>2015</v>
      </c>
      <c r="B35">
        <v>-0.113441349503539</v>
      </c>
      <c r="D35">
        <v>-1.0074377260077201</v>
      </c>
      <c r="F35">
        <v>-1.15675426667875</v>
      </c>
      <c r="H35">
        <v>-1.19654376694731</v>
      </c>
      <c r="J35">
        <v>-1.2197874459361999</v>
      </c>
      <c r="L35">
        <v>-1.28783943901404</v>
      </c>
      <c r="N35">
        <v>-0.81067556987060096</v>
      </c>
    </row>
    <row r="36" spans="1:14">
      <c r="A36">
        <v>2016</v>
      </c>
      <c r="B36">
        <v>1.1818412768253099</v>
      </c>
      <c r="D36">
        <v>3.3450474527354501E-2</v>
      </c>
      <c r="F36">
        <v>-0.151655604945655</v>
      </c>
      <c r="H36">
        <v>-0.177067637977424</v>
      </c>
      <c r="J36">
        <v>-0.166261244576423</v>
      </c>
      <c r="L36">
        <v>-0.41678853414209199</v>
      </c>
      <c r="N36">
        <v>-0.38804116480598999</v>
      </c>
    </row>
    <row r="37" spans="1:14">
      <c r="A37">
        <v>2017</v>
      </c>
      <c r="B37">
        <v>1.1274281524363099</v>
      </c>
      <c r="D37">
        <v>-0.146068010160018</v>
      </c>
      <c r="F37">
        <v>-0.36329356947038799</v>
      </c>
      <c r="H37">
        <v>-0.40182113607740999</v>
      </c>
      <c r="J37">
        <v>-0.40529940846843698</v>
      </c>
      <c r="L37">
        <v>-0.11434460465079201</v>
      </c>
      <c r="N37">
        <v>-0.405340028708571</v>
      </c>
    </row>
    <row r="38" spans="1:14">
      <c r="A38">
        <v>2018</v>
      </c>
      <c r="B38">
        <v>1.6817544017550099</v>
      </c>
      <c r="D38">
        <v>0.202119607834155</v>
      </c>
      <c r="F38">
        <v>-6.8404229606702394E-2</v>
      </c>
      <c r="H38">
        <v>-0.113631393151818</v>
      </c>
      <c r="J38">
        <v>-0.11483920290605901</v>
      </c>
      <c r="L38">
        <v>-0.122103473037267</v>
      </c>
      <c r="N38">
        <v>-0.37265562143053499</v>
      </c>
    </row>
    <row r="39" spans="1:14">
      <c r="A39">
        <v>2019</v>
      </c>
      <c r="B39">
        <v>2.3580373208685801</v>
      </c>
      <c r="D39">
        <v>0.62836899087944598</v>
      </c>
      <c r="F39">
        <v>0.32047461913886</v>
      </c>
      <c r="H39">
        <v>0.27027381876607098</v>
      </c>
      <c r="J39">
        <v>0.26723308341618301</v>
      </c>
      <c r="L39">
        <v>0.201494873534112</v>
      </c>
      <c r="N39">
        <v>0.51516396407825604</v>
      </c>
    </row>
    <row r="40" spans="1:14">
      <c r="A40">
        <v>2020</v>
      </c>
      <c r="B40">
        <v>2.69235784973147</v>
      </c>
      <c r="D40">
        <v>0.88084699409652301</v>
      </c>
      <c r="F40">
        <v>0.57296671940200805</v>
      </c>
      <c r="H40">
        <v>0.49462575600800901</v>
      </c>
      <c r="J40">
        <v>0.49959303653597598</v>
      </c>
      <c r="L40">
        <v>0.67246834111496601</v>
      </c>
      <c r="N40">
        <v>0.55887432875823395</v>
      </c>
    </row>
    <row r="41" spans="1:14">
      <c r="A41">
        <v>2021</v>
      </c>
      <c r="B41">
        <v>3.0142805054971098</v>
      </c>
      <c r="D41">
        <v>0.92700084938111504</v>
      </c>
      <c r="F41">
        <v>0.53273258726602402</v>
      </c>
      <c r="H41">
        <v>0.489658080484281</v>
      </c>
      <c r="J41">
        <v>0.46527744548183397</v>
      </c>
      <c r="L41">
        <v>0.35631817810601102</v>
      </c>
      <c r="N41">
        <v>-5.18188794520201E-2</v>
      </c>
    </row>
    <row r="42" spans="1:14">
      <c r="A42">
        <v>2022</v>
      </c>
      <c r="B42">
        <v>1.3015775391262601</v>
      </c>
      <c r="D42">
        <v>-0.96915508758094604</v>
      </c>
      <c r="F42">
        <v>-1.33381045529155</v>
      </c>
      <c r="H42">
        <v>-1.41263858843241</v>
      </c>
      <c r="J42">
        <v>-1.4185142694910999</v>
      </c>
      <c r="L42">
        <v>-1.42955452091029</v>
      </c>
      <c r="N42">
        <v>-1.9250115032083599</v>
      </c>
    </row>
    <row r="43" spans="1:14">
      <c r="A43">
        <v>2023</v>
      </c>
      <c r="B43">
        <v>4.2086261308756097</v>
      </c>
      <c r="D43">
        <v>1.69001369938624</v>
      </c>
      <c r="F43">
        <v>1.2915504854396</v>
      </c>
      <c r="H43">
        <v>1.23336126889554</v>
      </c>
      <c r="J43">
        <v>1.20910504010124</v>
      </c>
      <c r="L43">
        <v>1.4986250520439499</v>
      </c>
      <c r="N43">
        <v>0.84967628486232305</v>
      </c>
    </row>
    <row r="44" spans="1:14">
      <c r="A44">
        <v>2024</v>
      </c>
      <c r="B44">
        <v>4.8621275872063299</v>
      </c>
      <c r="D44">
        <v>2.2104119928488202</v>
      </c>
      <c r="F44">
        <v>1.78332797448679</v>
      </c>
      <c r="H44">
        <v>1.72621840120188</v>
      </c>
      <c r="J44">
        <v>1.6762807707918901</v>
      </c>
      <c r="L44">
        <v>1.9567829388578699</v>
      </c>
      <c r="N44">
        <v>1.74088059299384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rate</vt:lpstr>
      <vt:lpstr>correction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 Zeng</dc:creator>
  <cp:lastModifiedBy>曾 継業</cp:lastModifiedBy>
  <dcterms:created xsi:type="dcterms:W3CDTF">2023-10-06T00:42:14Z</dcterms:created>
  <dcterms:modified xsi:type="dcterms:W3CDTF">2026-03-27T02:25:12Z</dcterms:modified>
</cp:coreProperties>
</file>